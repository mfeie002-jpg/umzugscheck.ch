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Master_Dashboard" sheetId="1" state="visible" r:id="rId1"/>
    <sheet xmlns:r="http://schemas.openxmlformats.org/officeDocument/2006/relationships" name="2_Investoren_Schulden" sheetId="2" state="visible" r:id="rId2"/>
    <sheet xmlns:r="http://schemas.openxmlformats.org/officeDocument/2006/relationships" name="3a_Log_Morris" sheetId="3" state="visible" r:id="rId3"/>
    <sheet xmlns:r="http://schemas.openxmlformats.org/officeDocument/2006/relationships" name="3b_Log_Boryana" sheetId="4" state="visible" r:id="rId4"/>
    <sheet xmlns:r="http://schemas.openxmlformats.org/officeDocument/2006/relationships" name="4_Kunden_CR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b val="1"/>
    </font>
    <font>
      <b val="1"/>
      <color rgb="00D4AF37"/>
      <sz val="11"/>
    </font>
    <font>
      <b val="1"/>
      <color rgb="00000000"/>
    </font>
    <font>
      <i val="1"/>
      <color rgb="00595959"/>
    </font>
    <font>
      <b val="1"/>
      <color rgb="00000000"/>
      <sz val="14"/>
    </font>
    <font>
      <b val="1"/>
      <color rgb="00A6A6A6"/>
      <sz val="14"/>
    </font>
    <font>
      <b val="1"/>
      <color rgb="00A6A6A6"/>
    </font>
  </fonts>
  <fills count="6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1" fillId="0" borderId="0" pivotButton="0" quotePrefix="0" xfId="0"/>
    <xf numFmtId="0" fontId="3" fillId="3" borderId="2" pivotButton="0" quotePrefix="0" xfId="0"/>
    <xf numFmtId="0" fontId="4" fillId="4" borderId="2" pivotButton="0" quotePrefix="0" xfId="0"/>
    <xf numFmtId="9" fontId="3" fillId="3" borderId="2" pivotButton="0" quotePrefix="0" xfId="0"/>
    <xf numFmtId="164" fontId="4" fillId="4" borderId="2" pivotButton="0" quotePrefix="0" xfId="0"/>
    <xf numFmtId="0" fontId="2" fillId="2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center" vertical="top"/>
    </xf>
    <xf numFmtId="0" fontId="4" fillId="4" borderId="0" pivotButton="0" quotePrefix="0" xfId="0"/>
    <xf numFmtId="0" fontId="0" fillId="3" borderId="2" pivotButton="0" quotePrefix="0" xfId="0"/>
    <xf numFmtId="0" fontId="5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top"/>
    </xf>
    <xf numFmtId="0" fontId="3" fillId="3" borderId="2" applyAlignment="1" pivotButton="0" quotePrefix="0" xfId="0">
      <alignment horizontal="center" vertical="top"/>
    </xf>
    <xf numFmtId="0" fontId="0" fillId="5" borderId="2" pivotButton="0" quotePrefix="0" xfId="0"/>
    <xf numFmtId="0" fontId="3" fillId="3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7" customWidth="1" min="3" max="3"/>
    <col width="35" customWidth="1" min="4" max="4"/>
    <col width="35" customWidth="1" min="5" max="5"/>
  </cols>
  <sheetData>
    <row r="1">
      <c r="A1" s="2" t="inlineStr">
        <is>
          <t>⬇️ PARAMETER (HIER EINTRAGEN) ⬇️</t>
        </is>
      </c>
      <c r="B1" s="2" t="inlineStr">
        <is>
          <t>✏️ EINGABE</t>
        </is>
      </c>
      <c r="D1" s="2" t="inlineStr">
        <is>
          <t>🔒 FINANZEN (AUTOMATISCH) 🔒</t>
        </is>
      </c>
      <c r="E1" s="2" t="inlineStr">
        <is>
          <t>🔒 FORMEL</t>
        </is>
      </c>
    </row>
    <row r="2">
      <c r="A2" s="3" t="inlineStr">
        <is>
          <t>Basispreis pro g (CHF)</t>
        </is>
      </c>
      <c r="B2" s="4" t="n">
        <v>35</v>
      </c>
      <c r="D2" s="3" t="inlineStr">
        <is>
          <t>Wirtschaftlicher Gesamterlös (CHF)</t>
        </is>
      </c>
      <c r="E2" s="5">
        <f>SUM('3a_Log_Morris'!L:L) + SUM('3b_Log_Boryana'!L:L)</f>
        <v/>
      </c>
    </row>
    <row r="3">
      <c r="A3" s="3" t="inlineStr">
        <is>
          <t>Startmenge Schale (g)</t>
        </is>
      </c>
      <c r="B3" s="4" t="n">
        <v>100</v>
      </c>
      <c r="D3" s="3" t="inlineStr">
        <is>
          <t>Total Spesen abgezogen (CHF)</t>
        </is>
      </c>
      <c r="E3" s="5">
        <f>SUM('3a_Log_Morris'!I:I) + SUM('3b_Log_Boryana'!I:I)</f>
        <v/>
      </c>
    </row>
    <row r="4">
      <c r="A4" s="3" t="inlineStr">
        <is>
          <t>Warn-Schwelle Restbestand (g)</t>
        </is>
      </c>
      <c r="B4" s="4" t="n">
        <v>20</v>
      </c>
      <c r="D4" s="3" t="inlineStr">
        <is>
          <t>Echter Netto-Erlös (CHF)</t>
        </is>
      </c>
      <c r="E4" s="5">
        <f>E2-E3</f>
        <v/>
      </c>
    </row>
    <row r="5">
      <c r="A5" s="3" t="inlineStr">
        <is>
          <t>Mein Investment Start (CHF)</t>
        </is>
      </c>
      <c r="B5" s="4" t="n">
        <v>500</v>
      </c>
      <c r="D5" s="3" t="inlineStr"/>
      <c r="E5" s="5" t="inlineStr"/>
    </row>
    <row r="6">
      <c r="A6" s="3" t="inlineStr">
        <is>
          <t>Fremdschuld Start (CHF)</t>
        </is>
      </c>
      <c r="B6" s="4" t="n">
        <v>3000</v>
      </c>
      <c r="D6" s="2" t="inlineStr">
        <is>
          <t>🔒 AUSZAHLUNGS-WASSERFALL 🔒</t>
        </is>
      </c>
      <c r="E6" s="2" t="inlineStr">
        <is>
          <t>🔒 FORMEL</t>
        </is>
      </c>
    </row>
    <row r="7">
      <c r="A7" s="3" t="inlineStr">
        <is>
          <t>Gewinnanteil Morris (%)</t>
        </is>
      </c>
      <c r="B7" s="6" t="n">
        <v>0.5</v>
      </c>
      <c r="D7" s="3" t="inlineStr">
        <is>
          <t>1. Rückzahlung an Morris (CHF)</t>
        </is>
      </c>
      <c r="E7" s="5">
        <f>MIN(B5, E4)</f>
        <v/>
      </c>
    </row>
    <row r="8">
      <c r="A8" s="3" t="inlineStr">
        <is>
          <t>Gewinnanteil Boryana (%)</t>
        </is>
      </c>
      <c r="B8" s="6" t="n">
        <v>0.5</v>
      </c>
      <c r="D8" s="3" t="inlineStr">
        <is>
          <t>2. Basisanteil -&gt; Fremdschuld (CHF)</t>
        </is>
      </c>
      <c r="E8" s="5">
        <f>MIN(B6, E4-E7, B13*B2)</f>
        <v/>
      </c>
    </row>
    <row r="9">
      <c r="D9" s="3" t="inlineStr">
        <is>
          <t>3. Total Gewinn (Verteilbar) (CHF)</t>
        </is>
      </c>
      <c r="E9" s="5">
        <f>MAX(0, E4-E7-E8)</f>
        <v/>
      </c>
    </row>
    <row r="10">
      <c r="A10" s="2" t="inlineStr">
        <is>
          <t>🔒 MENGEN &amp; LAGER (AUTOMATISCH) 🔒</t>
        </is>
      </c>
      <c r="B10" s="2" t="inlineStr">
        <is>
          <t>🔒 FORMEL</t>
        </is>
      </c>
      <c r="D10" s="3" t="inlineStr">
        <is>
          <t>-&gt; Profit Morris (CHF)</t>
        </is>
      </c>
      <c r="E10" s="5">
        <f>E9*B7</f>
        <v/>
      </c>
    </row>
    <row r="11">
      <c r="A11" s="3" t="inlineStr">
        <is>
          <t>Verkaufte Menge (extern) (g)</t>
        </is>
      </c>
      <c r="B11" s="5">
        <f>SUMIF('3a_Log_Morris'!C:C, "Verkauf", '3a_Log_Morris'!F:F) + SUMIF('3b_Log_Boryana'!C:C, "Verkauf", '3b_Log_Boryana'!F:F)</f>
        <v/>
      </c>
      <c r="D11" s="3" t="inlineStr">
        <is>
          <t>-&gt; Profit Boryana (CHF)</t>
        </is>
      </c>
      <c r="E11" s="5">
        <f>E9*B8</f>
        <v/>
      </c>
    </row>
    <row r="12">
      <c r="A12" s="3" t="inlineStr">
        <is>
          <t>Eigene Entnahmen (intern) (g)</t>
        </is>
      </c>
      <c r="B12" s="5">
        <f>SUMIF('3a_Log_Morris'!C:C, "Eigenkonsum", '3a_Log_Morris'!F:F) + SUMIF('3b_Log_Boryana'!C:C, "Eigenkonsum", '3b_Log_Boryana'!F:F)</f>
        <v/>
      </c>
      <c r="D12" s="3" t="inlineStr"/>
      <c r="E12" s="5" t="inlineStr"/>
    </row>
    <row r="13">
      <c r="A13" s="3" t="inlineStr">
        <is>
          <t>Gesamtmenge raus (g)</t>
        </is>
      </c>
      <c r="B13" s="5">
        <f>B11+B12</f>
        <v/>
      </c>
      <c r="D13" s="2" t="inlineStr">
        <is>
          <t>🔒 OFFENE SCHULDEN &amp; STATUS 🔒</t>
        </is>
      </c>
      <c r="E13" s="2" t="inlineStr">
        <is>
          <t>🔒 FORMEL</t>
        </is>
      </c>
    </row>
    <row r="14">
      <c r="A14" s="3" t="inlineStr">
        <is>
          <t>Restbestand Schale (g)</t>
        </is>
      </c>
      <c r="B14" s="5">
        <f>B3-B13</f>
        <v/>
      </c>
      <c r="D14" s="3" t="inlineStr">
        <is>
          <t>Mein Investment noch offen (CHF)</t>
        </is>
      </c>
      <c r="E14" s="5">
        <f>B5-E7</f>
        <v/>
      </c>
    </row>
    <row r="15">
      <c r="A15" s="3" t="inlineStr">
        <is>
          <t>Lagerwert Basis (CHF)</t>
        </is>
      </c>
      <c r="B15" s="5">
        <f>B14*B2</f>
        <v/>
      </c>
      <c r="D15" s="3" t="inlineStr">
        <is>
          <t>Fremdschuld noch offen (CHF)</t>
        </is>
      </c>
      <c r="E15" s="5">
        <f>B6-E8</f>
        <v/>
      </c>
    </row>
    <row r="16">
      <c r="A16" s="3" t="inlineStr">
        <is>
          <t>Lager-Warnung Status</t>
        </is>
      </c>
      <c r="B16" s="5">
        <f>IF(B14&lt;B4, "⚠️ LAGER KNAPP", "✅ OK")</f>
        <v/>
      </c>
      <c r="D16" s="3" t="inlineStr">
        <is>
          <t>Offene Kunden-Rechnungen (CHF)</t>
        </is>
      </c>
      <c r="E16" s="5">
        <f>SUMIF('3a_Log_Morris'!E:E, "Offen", '3a_Log_Morris'!G:G) + SUMIF('3b_Log_Boryana'!E:E, "Offen", '3b_Log_Boryana'!G:G)</f>
        <v/>
      </c>
    </row>
    <row r="17">
      <c r="A17" s="3" t="inlineStr"/>
      <c r="B17" s="5" t="inlineStr"/>
      <c r="D17" s="3" t="inlineStr">
        <is>
          <t>Unbezahlte Eigenschulden Morris (CHF)</t>
        </is>
      </c>
      <c r="E17" s="5">
        <f>'2_Investoren_Schulden'!G8</f>
        <v/>
      </c>
    </row>
    <row r="18">
      <c r="A18" s="2" t="inlineStr">
        <is>
          <t>🔒 KASSENSTURZ (AUTOMATISCH) 🔒</t>
        </is>
      </c>
      <c r="B18" s="2" t="inlineStr">
        <is>
          <t>🔒 FORMEL</t>
        </is>
      </c>
      <c r="D18" s="3" t="inlineStr">
        <is>
          <t>Unbezahlte Eigenschulden Boryana (CHF)</t>
        </is>
      </c>
      <c r="E18" s="5">
        <f>'2_Investoren_Schulden'!G9</f>
        <v/>
      </c>
    </row>
    <row r="19">
      <c r="A19" s="3" t="inlineStr">
        <is>
          <t>Erwarteter Cash-Bestand (Bar) (CHF)</t>
        </is>
      </c>
      <c r="B19" s="5">
        <f>SUMIFS('3a_Log_Morris'!G:G, '3a_Log_Morris'!E:E, "Bezahlt", '3a_Log_Morris'!H:H, "Bar") + SUMIFS('3b_Log_Boryana'!G:G, '3b_Log_Boryana'!E:E, "Bezahlt", '3b_Log_Boryana'!H:H, "Bar")</f>
        <v/>
      </c>
      <c r="D19" s="3" t="inlineStr">
        <is>
          <t>Break-Even Status</t>
        </is>
      </c>
      <c r="E19" s="5">
        <f>IF(E14&lt;=0, "VOLL IM PROFIT 🚀", "IN TILGUNG ⏳")</f>
        <v/>
      </c>
    </row>
    <row r="20">
      <c r="A20" s="3" t="inlineStr">
        <is>
          <t>Erwarteter Twint/Bank-Bestand (CHF)</t>
        </is>
      </c>
      <c r="B20" s="5">
        <f>SUMIFS('3a_Log_Morris'!G:G, '3a_Log_Morris'!E:E, "Bezahlt", '3a_Log_Morris'!H:H, "Twint") + SUMIFS('3b_Log_Boryana'!G:G, '3b_Log_Boryana'!E:E, "Bezahlt", '3b_Log_Boryana'!H:H, "Twint")</f>
        <v/>
      </c>
      <c r="D20" s="3" t="inlineStr">
        <is>
          <t>Ø Netto-Marge gesamt (%)</t>
        </is>
      </c>
      <c r="E20" s="7">
        <f>IF(E2&gt;0, E9/E2, 0)</f>
        <v/>
      </c>
    </row>
    <row r="21">
      <c r="A21" s="3" t="inlineStr">
        <is>
          <t>Gesamt Liquidität physisch (CHF)</t>
        </is>
      </c>
      <c r="B21" s="5">
        <f>B19+B20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5" customWidth="1" min="3" max="3"/>
    <col width="27" customWidth="1" min="4" max="4"/>
    <col width="35" customWidth="1" min="5" max="5"/>
    <col width="24" customWidth="1" min="6" max="6"/>
    <col width="35" customWidth="1" min="7" max="7"/>
  </cols>
  <sheetData>
    <row r="1">
      <c r="A1" s="8" t="inlineStr">
        <is>
          <t>Kategorie</t>
        </is>
      </c>
      <c r="B1" s="8" t="inlineStr">
        <is>
          <t>Name</t>
        </is>
      </c>
      <c r="C1" s="8" t="inlineStr">
        <is>
          <t>🔒 Start/Total (CHF)</t>
        </is>
      </c>
      <c r="D1" s="9" t="inlineStr">
        <is>
          <t>✏️ Bereits Bezahlt (CHF)</t>
        </is>
      </c>
      <c r="E1" s="9" t="inlineStr">
        <is>
          <t>✏️ Manuelle Zusatz-Zahlung (CHF)</t>
        </is>
      </c>
      <c r="F1" s="8" t="inlineStr">
        <is>
          <t>🔒 Offener Saldo (CHF)</t>
        </is>
      </c>
      <c r="G1" s="8" t="inlineStr">
        <is>
          <t>🔒 Status</t>
        </is>
      </c>
    </row>
    <row r="2">
      <c r="A2" t="inlineStr">
        <is>
          <t>INVESTOR</t>
        </is>
      </c>
      <c r="B2" t="inlineStr">
        <is>
          <t>Morris</t>
        </is>
      </c>
      <c r="C2" s="10">
        <f>'1_Master_Dashboard'!B5</f>
        <v/>
      </c>
      <c r="D2" s="11">
        <f>'1_Master_Dashboard'!E7</f>
        <v/>
      </c>
      <c r="E2" s="11" t="n">
        <v>0</v>
      </c>
      <c r="F2" s="10">
        <f>C2-D2-E2</f>
        <v/>
      </c>
      <c r="G2" s="10">
        <f>IF(F2&lt;=0, "Abbezahlt ✅", "Offen ⏳")</f>
        <v/>
      </c>
    </row>
    <row r="3">
      <c r="A3" t="inlineStr">
        <is>
          <t>INVESTOR</t>
        </is>
      </c>
      <c r="B3" t="inlineStr">
        <is>
          <t>Dritte Person 1</t>
        </is>
      </c>
      <c r="C3" s="10">
        <f>'1_Master_Dashboard'!B6</f>
        <v/>
      </c>
      <c r="D3" s="11">
        <f>'1_Master_Dashboard'!E8</f>
        <v/>
      </c>
      <c r="E3" s="11" t="n">
        <v>0</v>
      </c>
      <c r="F3" s="10">
        <f>C3-D3-E3</f>
        <v/>
      </c>
      <c r="G3" s="10">
        <f>IF(F3&lt;=0, "Abbezahlt ✅", "Offen ⏳")</f>
        <v/>
      </c>
    </row>
    <row r="4">
      <c r="A4" t="inlineStr">
        <is>
          <t>INVESTOR</t>
        </is>
      </c>
      <c r="B4" t="inlineStr">
        <is>
          <t>Dritte Person 2</t>
        </is>
      </c>
      <c r="C4" t="n">
        <v>0</v>
      </c>
      <c r="D4" s="11" t="n">
        <v>0</v>
      </c>
      <c r="E4" s="11" t="n">
        <v>0</v>
      </c>
      <c r="F4" s="10">
        <f>C4-D4-E4</f>
        <v/>
      </c>
    </row>
    <row r="5">
      <c r="D5" s="11" t="inlineStr"/>
      <c r="E5" s="11" t="inlineStr"/>
    </row>
    <row r="6">
      <c r="D6" s="11" t="inlineStr"/>
      <c r="E6" s="11" t="inlineStr"/>
    </row>
    <row r="7">
      <c r="A7" t="inlineStr">
        <is>
          <t>INTERNE KÄUFER</t>
        </is>
      </c>
      <c r="B7" t="inlineStr">
        <is>
          <t>Morris (Eigenkonsum)</t>
        </is>
      </c>
      <c r="C7" s="10">
        <f>'1_Master_Dashboard'!B2*SUMIF('3a_Log_Morris'!C:C, "Eigenkonsum", '3a_Log_Morris'!F:F)</f>
        <v/>
      </c>
      <c r="D7" s="11" t="n">
        <v>0</v>
      </c>
      <c r="E7" s="11" t="n">
        <v>0</v>
      </c>
      <c r="F7" s="10">
        <f>C7-D7-E7</f>
        <v/>
      </c>
      <c r="G7" s="10">
        <f>IF(F7&gt;0, "Schulden in Kasse legen 🔴", "Sauber 🟢")</f>
        <v/>
      </c>
    </row>
    <row r="8">
      <c r="A8" t="inlineStr">
        <is>
          <t>INTERNE KÄUFER</t>
        </is>
      </c>
      <c r="B8" t="inlineStr">
        <is>
          <t>Boryana (Eigenkonsum)</t>
        </is>
      </c>
      <c r="C8" s="10">
        <f>'1_Master_Dashboard'!B2*SUMIF('3b_Log_Boryana'!C:C, "Eigenkonsum", '3b_Log_Boryana'!F:F)</f>
        <v/>
      </c>
      <c r="D8" s="11" t="n">
        <v>0</v>
      </c>
      <c r="E8" s="11" t="n">
        <v>0</v>
      </c>
      <c r="F8" s="10">
        <f>C8-D8-E8</f>
        <v/>
      </c>
      <c r="G8" s="10">
        <f>IF(F8&gt;0, "Schulden in Kasse legen 🔴", "Sauber 🟢")</f>
        <v/>
      </c>
    </row>
    <row r="9">
      <c r="A9" t="inlineStr">
        <is>
          <t>INTERNE KÄUFER</t>
        </is>
      </c>
      <c r="D9" s="11" t="inlineStr"/>
      <c r="E9" s="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35" customWidth="1" min="11" max="11"/>
  </cols>
  <sheetData>
    <row r="1">
      <c r="B1" s="12" t="inlineStr">
        <is>
          <t>⬇️ HIER EINTRAGEN (EINGABEBEREICH) ⬇️</t>
        </is>
      </c>
      <c r="K1" s="13" t="inlineStr">
        <is>
          <t>🚫 NICHT ÄNDERN (AUTOMATISCHE FORMELN) 🚫</t>
        </is>
      </c>
    </row>
    <row r="2"/>
    <row r="3"/>
    <row r="4">
      <c r="A4" s="14" t="inlineStr">
        <is>
          <t>🔒 Nr</t>
        </is>
      </c>
      <c r="B4" s="15" t="inlineStr">
        <is>
          <t>✏️ Datum</t>
        </is>
      </c>
      <c r="C4" s="15" t="inlineStr">
        <is>
          <t>✏️ Art</t>
        </is>
      </c>
      <c r="D4" s="15" t="inlineStr">
        <is>
          <t>✏️ Kunde / Notiz</t>
        </is>
      </c>
      <c r="E4" s="15" t="inlineStr">
        <is>
          <t>✏️ Zahlung</t>
        </is>
      </c>
      <c r="F4" s="15" t="inlineStr">
        <is>
          <t>✏️ Menge (g)</t>
        </is>
      </c>
      <c r="G4" s="15" t="inlineStr">
        <is>
          <t>✏️ Preis (CHF)</t>
        </is>
      </c>
      <c r="H4" s="15" t="inlineStr">
        <is>
          <t>✏️ Zahlungsart</t>
        </is>
      </c>
      <c r="I4" s="15" t="inlineStr">
        <is>
          <t>✏️ Spesen (CHF)</t>
        </is>
      </c>
      <c r="J4" s="15" t="inlineStr">
        <is>
          <t>✏️ Spesen-Kategorie</t>
        </is>
      </c>
      <c r="K4" s="14" t="inlineStr">
        <is>
          <t>🔒 Basiswert (CHF)</t>
        </is>
      </c>
      <c r="L4" s="14" t="inlineStr">
        <is>
          <t>🔒 Erlös intern (CHF)</t>
        </is>
      </c>
      <c r="M4" s="14" t="inlineStr">
        <is>
          <t>🔒 Netto Profit (CHF)</t>
        </is>
      </c>
      <c r="N4" s="14" t="inlineStr">
        <is>
          <t>🔒 Deal-Rating</t>
        </is>
      </c>
      <c r="O4" s="14" t="inlineStr">
        <is>
          <t>🔒 Lager-Warnung</t>
        </is>
      </c>
    </row>
    <row r="5">
      <c r="A5" t="n">
        <v>1</v>
      </c>
      <c r="B5" s="16" t="inlineStr"/>
      <c r="C5" s="16" t="inlineStr"/>
      <c r="D5" s="16" t="inlineStr"/>
      <c r="E5" s="16" t="inlineStr">
        <is>
          <t>Offen</t>
        </is>
      </c>
      <c r="F5" s="16" t="n">
        <v>0</v>
      </c>
      <c r="G5" s="16" t="n">
        <v>0</v>
      </c>
      <c r="H5" s="16" t="inlineStr">
        <is>
          <t>Bar</t>
        </is>
      </c>
      <c r="I5" s="16" t="n">
        <v>0</v>
      </c>
      <c r="J5" s="16" t="inlineStr">
        <is>
          <t>Fahrtkosten</t>
        </is>
      </c>
      <c r="K5" s="5">
        <f>F5*'1_Master_Dashboard'!B$2</f>
        <v/>
      </c>
      <c r="L5" s="5">
        <f>IF(C5="Verkauf", G5, K5)</f>
        <v/>
      </c>
      <c r="M5" s="5">
        <f>L5-K5-I5</f>
        <v/>
      </c>
      <c r="N5" s="5">
        <f>IF(F5&gt;0, IF((G5/F5)&gt;('1_Master_Dashboard'!B$2*1.2), "Top Deal 🚀", IF((G5/F5)&lt;'1_Master_Dashboard'!B$2, "Verlust ⚠️", "Standard")), "")</f>
        <v/>
      </c>
      <c r="O5" s="5">
        <f>IF('1_Master_Dashboard'!B$14&lt;0, "MINUS BESTAND ❌", "OK")</f>
        <v/>
      </c>
    </row>
    <row r="6">
      <c r="A6" t="n">
        <v>2</v>
      </c>
      <c r="B6" s="16" t="inlineStr"/>
      <c r="C6" s="16" t="inlineStr"/>
      <c r="D6" s="16" t="inlineStr"/>
      <c r="E6" s="16" t="inlineStr">
        <is>
          <t>Offen</t>
        </is>
      </c>
      <c r="F6" s="16" t="n">
        <v>0</v>
      </c>
      <c r="G6" s="16" t="n">
        <v>0</v>
      </c>
      <c r="H6" s="16" t="inlineStr">
        <is>
          <t>Bar</t>
        </is>
      </c>
      <c r="I6" s="16" t="n">
        <v>0</v>
      </c>
      <c r="J6" s="16" t="inlineStr">
        <is>
          <t>Fahrtkosten</t>
        </is>
      </c>
      <c r="K6" s="5">
        <f>F6*'1_Master_Dashboard'!B$2</f>
        <v/>
      </c>
      <c r="L6" s="5">
        <f>IF(C6="Verkauf", G6, K6)</f>
        <v/>
      </c>
      <c r="M6" s="5">
        <f>L6-K6-I6</f>
        <v/>
      </c>
      <c r="N6" s="5">
        <f>IF(F6&gt;0, IF((G6/F6)&gt;('1_Master_Dashboard'!B$2*1.2), "Top Deal 🚀", IF((G6/F6)&lt;'1_Master_Dashboard'!B$2, "Verlust ⚠️", "Standard")), "")</f>
        <v/>
      </c>
      <c r="O6" s="5">
        <f>IF('1_Master_Dashboard'!B$14&lt;0, "MINUS BESTAND ❌", "OK")</f>
        <v/>
      </c>
    </row>
    <row r="7">
      <c r="A7" t="n">
        <v>3</v>
      </c>
      <c r="B7" s="16" t="inlineStr"/>
      <c r="C7" s="16" t="inlineStr"/>
      <c r="D7" s="16" t="inlineStr"/>
      <c r="E7" s="16" t="inlineStr">
        <is>
          <t>Offen</t>
        </is>
      </c>
      <c r="F7" s="16" t="n">
        <v>0</v>
      </c>
      <c r="G7" s="16" t="n">
        <v>0</v>
      </c>
      <c r="H7" s="16" t="inlineStr">
        <is>
          <t>Bar</t>
        </is>
      </c>
      <c r="I7" s="16" t="n">
        <v>0</v>
      </c>
      <c r="J7" s="16" t="inlineStr">
        <is>
          <t>Fahrtkosten</t>
        </is>
      </c>
      <c r="K7" s="5">
        <f>F7*'1_Master_Dashboard'!B$2</f>
        <v/>
      </c>
      <c r="L7" s="5">
        <f>IF(C7="Verkauf", G7, K7)</f>
        <v/>
      </c>
      <c r="M7" s="5">
        <f>L7-K7-I7</f>
        <v/>
      </c>
      <c r="N7" s="5">
        <f>IF(F7&gt;0, IF((G7/F7)&gt;('1_Master_Dashboard'!B$2*1.2), "Top Deal 🚀", IF((G7/F7)&lt;'1_Master_Dashboard'!B$2, "Verlust ⚠️", "Standard")), "")</f>
        <v/>
      </c>
      <c r="O7" s="5">
        <f>IF('1_Master_Dashboard'!B$14&lt;0, "MINUS BESTAND ❌", "OK")</f>
        <v/>
      </c>
    </row>
    <row r="8">
      <c r="A8" t="n">
        <v>4</v>
      </c>
      <c r="B8" s="16" t="inlineStr"/>
      <c r="C8" s="16" t="inlineStr"/>
      <c r="D8" s="16" t="inlineStr"/>
      <c r="E8" s="16" t="inlineStr">
        <is>
          <t>Offen</t>
        </is>
      </c>
      <c r="F8" s="16" t="n">
        <v>0</v>
      </c>
      <c r="G8" s="16" t="n">
        <v>0</v>
      </c>
      <c r="H8" s="16" t="inlineStr">
        <is>
          <t>Bar</t>
        </is>
      </c>
      <c r="I8" s="16" t="n">
        <v>0</v>
      </c>
      <c r="J8" s="16" t="inlineStr">
        <is>
          <t>Fahrtkosten</t>
        </is>
      </c>
      <c r="K8" s="5">
        <f>F8*'1_Master_Dashboard'!B$2</f>
        <v/>
      </c>
      <c r="L8" s="5">
        <f>IF(C8="Verkauf", G8, K8)</f>
        <v/>
      </c>
      <c r="M8" s="5">
        <f>L8-K8-I8</f>
        <v/>
      </c>
      <c r="N8" s="5">
        <f>IF(F8&gt;0, IF((G8/F8)&gt;('1_Master_Dashboard'!B$2*1.2), "Top Deal 🚀", IF((G8/F8)&lt;'1_Master_Dashboard'!B$2, "Verlust ⚠️", "Standard")), "")</f>
        <v/>
      </c>
      <c r="O8" s="5">
        <f>IF('1_Master_Dashboard'!B$14&lt;0, "MINUS BESTAND ❌", "OK")</f>
        <v/>
      </c>
    </row>
    <row r="9">
      <c r="A9" t="n">
        <v>5</v>
      </c>
      <c r="B9" s="16" t="inlineStr"/>
      <c r="C9" s="16" t="inlineStr"/>
      <c r="D9" s="16" t="inlineStr"/>
      <c r="E9" s="16" t="inlineStr">
        <is>
          <t>Offen</t>
        </is>
      </c>
      <c r="F9" s="16" t="n">
        <v>0</v>
      </c>
      <c r="G9" s="16" t="n">
        <v>0</v>
      </c>
      <c r="H9" s="16" t="inlineStr">
        <is>
          <t>Bar</t>
        </is>
      </c>
      <c r="I9" s="16" t="n">
        <v>0</v>
      </c>
      <c r="J9" s="16" t="inlineStr">
        <is>
          <t>Fahrtkosten</t>
        </is>
      </c>
      <c r="K9" s="5">
        <f>F9*'1_Master_Dashboard'!B$2</f>
        <v/>
      </c>
      <c r="L9" s="5">
        <f>IF(C9="Verkauf", G9, K9)</f>
        <v/>
      </c>
      <c r="M9" s="5">
        <f>L9-K9-I9</f>
        <v/>
      </c>
      <c r="N9" s="5">
        <f>IF(F9&gt;0, IF((G9/F9)&gt;('1_Master_Dashboard'!B$2*1.2), "Top Deal 🚀", IF((G9/F9)&lt;'1_Master_Dashboard'!B$2, "Verlust ⚠️", "Standard")), "")</f>
        <v/>
      </c>
      <c r="O9" s="5">
        <f>IF('1_Master_Dashboard'!B$14&lt;0, "MINUS BESTAND ❌", "OK")</f>
        <v/>
      </c>
    </row>
    <row r="10">
      <c r="A10" t="n">
        <v>6</v>
      </c>
      <c r="B10" s="16" t="inlineStr"/>
      <c r="C10" s="16" t="inlineStr"/>
      <c r="D10" s="16" t="inlineStr"/>
      <c r="E10" s="16" t="inlineStr">
        <is>
          <t>Offen</t>
        </is>
      </c>
      <c r="F10" s="16" t="n">
        <v>0</v>
      </c>
      <c r="G10" s="16" t="n">
        <v>0</v>
      </c>
      <c r="H10" s="16" t="inlineStr">
        <is>
          <t>Bar</t>
        </is>
      </c>
      <c r="I10" s="16" t="n">
        <v>0</v>
      </c>
      <c r="J10" s="16" t="inlineStr">
        <is>
          <t>Fahrtkosten</t>
        </is>
      </c>
      <c r="K10" s="5">
        <f>F10*'1_Master_Dashboard'!B$2</f>
        <v/>
      </c>
      <c r="L10" s="5">
        <f>IF(C10="Verkauf", G10, K10)</f>
        <v/>
      </c>
      <c r="M10" s="5">
        <f>L10-K10-I10</f>
        <v/>
      </c>
      <c r="N10" s="5">
        <f>IF(F10&gt;0, IF((G10/F10)&gt;('1_Master_Dashboard'!B$2*1.2), "Top Deal 🚀", IF((G10/F10)&lt;'1_Master_Dashboard'!B$2, "Verlust ⚠️", "Standard")), "")</f>
        <v/>
      </c>
      <c r="O10" s="5">
        <f>IF('1_Master_Dashboard'!B$14&lt;0, "MINUS BESTAND ❌", "OK")</f>
        <v/>
      </c>
    </row>
    <row r="11">
      <c r="A11" t="n">
        <v>7</v>
      </c>
      <c r="B11" s="16" t="inlineStr"/>
      <c r="C11" s="16" t="inlineStr"/>
      <c r="D11" s="16" t="inlineStr"/>
      <c r="E11" s="16" t="inlineStr">
        <is>
          <t>Offen</t>
        </is>
      </c>
      <c r="F11" s="16" t="n">
        <v>0</v>
      </c>
      <c r="G11" s="16" t="n">
        <v>0</v>
      </c>
      <c r="H11" s="16" t="inlineStr">
        <is>
          <t>Bar</t>
        </is>
      </c>
      <c r="I11" s="16" t="n">
        <v>0</v>
      </c>
      <c r="J11" s="16" t="inlineStr">
        <is>
          <t>Fahrtkosten</t>
        </is>
      </c>
      <c r="K11" s="5">
        <f>F11*'1_Master_Dashboard'!B$2</f>
        <v/>
      </c>
      <c r="L11" s="5">
        <f>IF(C11="Verkauf", G11, K11)</f>
        <v/>
      </c>
      <c r="M11" s="5">
        <f>L11-K11-I11</f>
        <v/>
      </c>
      <c r="N11" s="5">
        <f>IF(F11&gt;0, IF((G11/F11)&gt;('1_Master_Dashboard'!B$2*1.2), "Top Deal 🚀", IF((G11/F11)&lt;'1_Master_Dashboard'!B$2, "Verlust ⚠️", "Standard")), "")</f>
        <v/>
      </c>
      <c r="O11" s="5">
        <f>IF('1_Master_Dashboard'!B$14&lt;0, "MINUS BESTAND ❌", "OK")</f>
        <v/>
      </c>
    </row>
    <row r="12">
      <c r="A12" t="n">
        <v>8</v>
      </c>
      <c r="B12" s="16" t="inlineStr"/>
      <c r="C12" s="16" t="inlineStr"/>
      <c r="D12" s="16" t="inlineStr"/>
      <c r="E12" s="16" t="inlineStr">
        <is>
          <t>Offen</t>
        </is>
      </c>
      <c r="F12" s="16" t="n">
        <v>0</v>
      </c>
      <c r="G12" s="16" t="n">
        <v>0</v>
      </c>
      <c r="H12" s="16" t="inlineStr">
        <is>
          <t>Bar</t>
        </is>
      </c>
      <c r="I12" s="16" t="n">
        <v>0</v>
      </c>
      <c r="J12" s="16" t="inlineStr">
        <is>
          <t>Fahrtkosten</t>
        </is>
      </c>
      <c r="K12" s="5">
        <f>F12*'1_Master_Dashboard'!B$2</f>
        <v/>
      </c>
      <c r="L12" s="5">
        <f>IF(C12="Verkauf", G12, K12)</f>
        <v/>
      </c>
      <c r="M12" s="5">
        <f>L12-K12-I12</f>
        <v/>
      </c>
      <c r="N12" s="5">
        <f>IF(F12&gt;0, IF((G12/F12)&gt;('1_Master_Dashboard'!B$2*1.2), "Top Deal 🚀", IF((G12/F12)&lt;'1_Master_Dashboard'!B$2, "Verlust ⚠️", "Standard")), "")</f>
        <v/>
      </c>
      <c r="O12" s="5">
        <f>IF('1_Master_Dashboard'!B$14&lt;0, "MINUS BESTAND ❌", "OK")</f>
        <v/>
      </c>
    </row>
    <row r="13">
      <c r="A13" t="n">
        <v>9</v>
      </c>
      <c r="B13" s="16" t="inlineStr"/>
      <c r="C13" s="16" t="inlineStr"/>
      <c r="D13" s="16" t="inlineStr"/>
      <c r="E13" s="16" t="inlineStr">
        <is>
          <t>Offen</t>
        </is>
      </c>
      <c r="F13" s="16" t="n">
        <v>0</v>
      </c>
      <c r="G13" s="16" t="n">
        <v>0</v>
      </c>
      <c r="H13" s="16" t="inlineStr">
        <is>
          <t>Bar</t>
        </is>
      </c>
      <c r="I13" s="16" t="n">
        <v>0</v>
      </c>
      <c r="J13" s="16" t="inlineStr">
        <is>
          <t>Fahrtkosten</t>
        </is>
      </c>
      <c r="K13" s="5">
        <f>F13*'1_Master_Dashboard'!B$2</f>
        <v/>
      </c>
      <c r="L13" s="5">
        <f>IF(C13="Verkauf", G13, K13)</f>
        <v/>
      </c>
      <c r="M13" s="5">
        <f>L13-K13-I13</f>
        <v/>
      </c>
      <c r="N13" s="5">
        <f>IF(F13&gt;0, IF((G13/F13)&gt;('1_Master_Dashboard'!B$2*1.2), "Top Deal 🚀", IF((G13/F13)&lt;'1_Master_Dashboard'!B$2, "Verlust ⚠️", "Standard")), "")</f>
        <v/>
      </c>
      <c r="O13" s="5">
        <f>IF('1_Master_Dashboard'!B$14&lt;0, "MINUS BESTAND ❌", "OK")</f>
        <v/>
      </c>
    </row>
    <row r="14">
      <c r="A14" t="n">
        <v>10</v>
      </c>
      <c r="B14" s="16" t="inlineStr"/>
      <c r="C14" s="16" t="inlineStr"/>
      <c r="D14" s="16" t="inlineStr"/>
      <c r="E14" s="16" t="inlineStr">
        <is>
          <t>Offen</t>
        </is>
      </c>
      <c r="F14" s="16" t="n">
        <v>0</v>
      </c>
      <c r="G14" s="16" t="n">
        <v>0</v>
      </c>
      <c r="H14" s="16" t="inlineStr">
        <is>
          <t>Bar</t>
        </is>
      </c>
      <c r="I14" s="16" t="n">
        <v>0</v>
      </c>
      <c r="J14" s="16" t="inlineStr">
        <is>
          <t>Fahrtkosten</t>
        </is>
      </c>
      <c r="K14" s="5">
        <f>F14*'1_Master_Dashboard'!B$2</f>
        <v/>
      </c>
      <c r="L14" s="5">
        <f>IF(C14="Verkauf", G14, K14)</f>
        <v/>
      </c>
      <c r="M14" s="5">
        <f>L14-K14-I14</f>
        <v/>
      </c>
      <c r="N14" s="5">
        <f>IF(F14&gt;0, IF((G14/F14)&gt;('1_Master_Dashboard'!B$2*1.2), "Top Deal 🚀", IF((G14/F14)&lt;'1_Master_Dashboard'!B$2, "Verlust ⚠️", "Standard")), "")</f>
        <v/>
      </c>
      <c r="O14" s="5">
        <f>IF('1_Master_Dashboard'!B$14&lt;0, "MINUS BESTAND ❌", "OK")</f>
        <v/>
      </c>
    </row>
    <row r="15">
      <c r="A15" t="n">
        <v>11</v>
      </c>
      <c r="B15" s="16" t="inlineStr"/>
      <c r="C15" s="16" t="inlineStr"/>
      <c r="D15" s="16" t="inlineStr"/>
      <c r="E15" s="16" t="inlineStr">
        <is>
          <t>Offen</t>
        </is>
      </c>
      <c r="F15" s="16" t="n">
        <v>0</v>
      </c>
      <c r="G15" s="16" t="n">
        <v>0</v>
      </c>
      <c r="H15" s="16" t="inlineStr">
        <is>
          <t>Bar</t>
        </is>
      </c>
      <c r="I15" s="16" t="n">
        <v>0</v>
      </c>
      <c r="J15" s="16" t="inlineStr">
        <is>
          <t>Fahrtkosten</t>
        </is>
      </c>
      <c r="K15" s="5">
        <f>F15*'1_Master_Dashboard'!B$2</f>
        <v/>
      </c>
      <c r="L15" s="5">
        <f>IF(C15="Verkauf", G15, K15)</f>
        <v/>
      </c>
      <c r="M15" s="5">
        <f>L15-K15-I15</f>
        <v/>
      </c>
      <c r="N15" s="5">
        <f>IF(F15&gt;0, IF((G15/F15)&gt;('1_Master_Dashboard'!B$2*1.2), "Top Deal 🚀", IF((G15/F15)&lt;'1_Master_Dashboard'!B$2, "Verlust ⚠️", "Standard")), "")</f>
        <v/>
      </c>
      <c r="O15" s="5">
        <f>IF('1_Master_Dashboard'!B$14&lt;0, "MINUS BESTAND ❌", "OK")</f>
        <v/>
      </c>
    </row>
    <row r="16">
      <c r="A16" t="n">
        <v>12</v>
      </c>
      <c r="B16" s="16" t="inlineStr"/>
      <c r="C16" s="16" t="inlineStr"/>
      <c r="D16" s="16" t="inlineStr"/>
      <c r="E16" s="16" t="inlineStr">
        <is>
          <t>Offen</t>
        </is>
      </c>
      <c r="F16" s="16" t="n">
        <v>0</v>
      </c>
      <c r="G16" s="16" t="n">
        <v>0</v>
      </c>
      <c r="H16" s="16" t="inlineStr">
        <is>
          <t>Bar</t>
        </is>
      </c>
      <c r="I16" s="16" t="n">
        <v>0</v>
      </c>
      <c r="J16" s="16" t="inlineStr">
        <is>
          <t>Fahrtkosten</t>
        </is>
      </c>
      <c r="K16" s="5">
        <f>F16*'1_Master_Dashboard'!B$2</f>
        <v/>
      </c>
      <c r="L16" s="5">
        <f>IF(C16="Verkauf", G16, K16)</f>
        <v/>
      </c>
      <c r="M16" s="5">
        <f>L16-K16-I16</f>
        <v/>
      </c>
      <c r="N16" s="5">
        <f>IF(F16&gt;0, IF((G16/F16)&gt;('1_Master_Dashboard'!B$2*1.2), "Top Deal 🚀", IF((G16/F16)&lt;'1_Master_Dashboard'!B$2, "Verlust ⚠️", "Standard")), "")</f>
        <v/>
      </c>
      <c r="O16" s="5">
        <f>IF('1_Master_Dashboard'!B$14&lt;0, "MINUS BESTAND ❌", "OK")</f>
        <v/>
      </c>
    </row>
    <row r="17">
      <c r="A17" t="n">
        <v>13</v>
      </c>
      <c r="B17" s="16" t="inlineStr"/>
      <c r="C17" s="16" t="inlineStr"/>
      <c r="D17" s="16" t="inlineStr"/>
      <c r="E17" s="16" t="inlineStr">
        <is>
          <t>Offen</t>
        </is>
      </c>
      <c r="F17" s="16" t="n">
        <v>0</v>
      </c>
      <c r="G17" s="16" t="n">
        <v>0</v>
      </c>
      <c r="H17" s="16" t="inlineStr">
        <is>
          <t>Bar</t>
        </is>
      </c>
      <c r="I17" s="16" t="n">
        <v>0</v>
      </c>
      <c r="J17" s="16" t="inlineStr">
        <is>
          <t>Fahrtkosten</t>
        </is>
      </c>
      <c r="K17" s="5">
        <f>F17*'1_Master_Dashboard'!B$2</f>
        <v/>
      </c>
      <c r="L17" s="5">
        <f>IF(C17="Verkauf", G17, K17)</f>
        <v/>
      </c>
      <c r="M17" s="5">
        <f>L17-K17-I17</f>
        <v/>
      </c>
      <c r="N17" s="5">
        <f>IF(F17&gt;0, IF((G17/F17)&gt;('1_Master_Dashboard'!B$2*1.2), "Top Deal 🚀", IF((G17/F17)&lt;'1_Master_Dashboard'!B$2, "Verlust ⚠️", "Standard")), "")</f>
        <v/>
      </c>
      <c r="O17" s="5">
        <f>IF('1_Master_Dashboard'!B$14&lt;0, "MINUS BESTAND ❌", "OK")</f>
        <v/>
      </c>
    </row>
    <row r="18">
      <c r="A18" t="n">
        <v>14</v>
      </c>
      <c r="B18" s="16" t="inlineStr"/>
      <c r="C18" s="16" t="inlineStr"/>
      <c r="D18" s="16" t="inlineStr"/>
      <c r="E18" s="16" t="inlineStr">
        <is>
          <t>Offen</t>
        </is>
      </c>
      <c r="F18" s="16" t="n">
        <v>0</v>
      </c>
      <c r="G18" s="16" t="n">
        <v>0</v>
      </c>
      <c r="H18" s="16" t="inlineStr">
        <is>
          <t>Bar</t>
        </is>
      </c>
      <c r="I18" s="16" t="n">
        <v>0</v>
      </c>
      <c r="J18" s="16" t="inlineStr">
        <is>
          <t>Fahrtkosten</t>
        </is>
      </c>
      <c r="K18" s="5">
        <f>F18*'1_Master_Dashboard'!B$2</f>
        <v/>
      </c>
      <c r="L18" s="5">
        <f>IF(C18="Verkauf", G18, K18)</f>
        <v/>
      </c>
      <c r="M18" s="5">
        <f>L18-K18-I18</f>
        <v/>
      </c>
      <c r="N18" s="5">
        <f>IF(F18&gt;0, IF((G18/F18)&gt;('1_Master_Dashboard'!B$2*1.2), "Top Deal 🚀", IF((G18/F18)&lt;'1_Master_Dashboard'!B$2, "Verlust ⚠️", "Standard")), "")</f>
        <v/>
      </c>
      <c r="O18" s="5">
        <f>IF('1_Master_Dashboard'!B$14&lt;0, "MINUS BESTAND ❌", "OK")</f>
        <v/>
      </c>
    </row>
    <row r="19">
      <c r="A19" t="n">
        <v>15</v>
      </c>
      <c r="B19" s="16" t="inlineStr"/>
      <c r="C19" s="16" t="inlineStr"/>
      <c r="D19" s="16" t="inlineStr"/>
      <c r="E19" s="16" t="inlineStr">
        <is>
          <t>Offen</t>
        </is>
      </c>
      <c r="F19" s="16" t="n">
        <v>0</v>
      </c>
      <c r="G19" s="16" t="n">
        <v>0</v>
      </c>
      <c r="H19" s="16" t="inlineStr">
        <is>
          <t>Bar</t>
        </is>
      </c>
      <c r="I19" s="16" t="n">
        <v>0</v>
      </c>
      <c r="J19" s="16" t="inlineStr">
        <is>
          <t>Fahrtkosten</t>
        </is>
      </c>
      <c r="K19" s="5">
        <f>F19*'1_Master_Dashboard'!B$2</f>
        <v/>
      </c>
      <c r="L19" s="5">
        <f>IF(C19="Verkauf", G19, K19)</f>
        <v/>
      </c>
      <c r="M19" s="5">
        <f>L19-K19-I19</f>
        <v/>
      </c>
      <c r="N19" s="5">
        <f>IF(F19&gt;0, IF((G19/F19)&gt;('1_Master_Dashboard'!B$2*1.2), "Top Deal 🚀", IF((G19/F19)&lt;'1_Master_Dashboard'!B$2, "Verlust ⚠️", "Standard")), "")</f>
        <v/>
      </c>
      <c r="O19" s="5">
        <f>IF('1_Master_Dashboard'!B$14&lt;0, "MINUS BESTAND ❌", "OK")</f>
        <v/>
      </c>
    </row>
    <row r="20">
      <c r="A20" t="n">
        <v>16</v>
      </c>
      <c r="B20" s="16" t="inlineStr"/>
      <c r="C20" s="16" t="inlineStr"/>
      <c r="D20" s="16" t="inlineStr"/>
      <c r="E20" s="16" t="inlineStr">
        <is>
          <t>Offen</t>
        </is>
      </c>
      <c r="F20" s="16" t="n">
        <v>0</v>
      </c>
      <c r="G20" s="16" t="n">
        <v>0</v>
      </c>
      <c r="H20" s="16" t="inlineStr">
        <is>
          <t>Bar</t>
        </is>
      </c>
      <c r="I20" s="16" t="n">
        <v>0</v>
      </c>
      <c r="J20" s="16" t="inlineStr">
        <is>
          <t>Fahrtkosten</t>
        </is>
      </c>
      <c r="K20" s="5">
        <f>F20*'1_Master_Dashboard'!B$2</f>
        <v/>
      </c>
      <c r="L20" s="5">
        <f>IF(C20="Verkauf", G20, K20)</f>
        <v/>
      </c>
      <c r="M20" s="5">
        <f>L20-K20-I20</f>
        <v/>
      </c>
      <c r="N20" s="5">
        <f>IF(F20&gt;0, IF((G20/F20)&gt;('1_Master_Dashboard'!B$2*1.2), "Top Deal 🚀", IF((G20/F20)&lt;'1_Master_Dashboard'!B$2, "Verlust ⚠️", "Standard")), "")</f>
        <v/>
      </c>
      <c r="O20" s="5">
        <f>IF('1_Master_Dashboard'!B$14&lt;0, "MINUS BESTAND ❌", "OK")</f>
        <v/>
      </c>
    </row>
    <row r="21">
      <c r="A21" t="n">
        <v>17</v>
      </c>
      <c r="B21" s="16" t="inlineStr"/>
      <c r="C21" s="16" t="inlineStr"/>
      <c r="D21" s="16" t="inlineStr"/>
      <c r="E21" s="16" t="inlineStr">
        <is>
          <t>Offen</t>
        </is>
      </c>
      <c r="F21" s="16" t="n">
        <v>0</v>
      </c>
      <c r="G21" s="16" t="n">
        <v>0</v>
      </c>
      <c r="H21" s="16" t="inlineStr">
        <is>
          <t>Bar</t>
        </is>
      </c>
      <c r="I21" s="16" t="n">
        <v>0</v>
      </c>
      <c r="J21" s="16" t="inlineStr">
        <is>
          <t>Fahrtkosten</t>
        </is>
      </c>
      <c r="K21" s="5">
        <f>F21*'1_Master_Dashboard'!B$2</f>
        <v/>
      </c>
      <c r="L21" s="5">
        <f>IF(C21="Verkauf", G21, K21)</f>
        <v/>
      </c>
      <c r="M21" s="5">
        <f>L21-K21-I21</f>
        <v/>
      </c>
      <c r="N21" s="5">
        <f>IF(F21&gt;0, IF((G21/F21)&gt;('1_Master_Dashboard'!B$2*1.2), "Top Deal 🚀", IF((G21/F21)&lt;'1_Master_Dashboard'!B$2, "Verlust ⚠️", "Standard")), "")</f>
        <v/>
      </c>
      <c r="O21" s="5">
        <f>IF('1_Master_Dashboard'!B$14&lt;0, "MINUS BESTAND ❌", "OK")</f>
        <v/>
      </c>
    </row>
    <row r="22">
      <c r="A22" t="n">
        <v>18</v>
      </c>
      <c r="B22" s="16" t="inlineStr"/>
      <c r="C22" s="16" t="inlineStr"/>
      <c r="D22" s="16" t="inlineStr"/>
      <c r="E22" s="16" t="inlineStr">
        <is>
          <t>Offen</t>
        </is>
      </c>
      <c r="F22" s="16" t="n">
        <v>0</v>
      </c>
      <c r="G22" s="16" t="n">
        <v>0</v>
      </c>
      <c r="H22" s="16" t="inlineStr">
        <is>
          <t>Bar</t>
        </is>
      </c>
      <c r="I22" s="16" t="n">
        <v>0</v>
      </c>
      <c r="J22" s="16" t="inlineStr">
        <is>
          <t>Fahrtkosten</t>
        </is>
      </c>
      <c r="K22" s="5">
        <f>F22*'1_Master_Dashboard'!B$2</f>
        <v/>
      </c>
      <c r="L22" s="5">
        <f>IF(C22="Verkauf", G22, K22)</f>
        <v/>
      </c>
      <c r="M22" s="5">
        <f>L22-K22-I22</f>
        <v/>
      </c>
      <c r="N22" s="5">
        <f>IF(F22&gt;0, IF((G22/F22)&gt;('1_Master_Dashboard'!B$2*1.2), "Top Deal 🚀", IF((G22/F22)&lt;'1_Master_Dashboard'!B$2, "Verlust ⚠️", "Standard")), "")</f>
        <v/>
      </c>
      <c r="O22" s="5">
        <f>IF('1_Master_Dashboard'!B$14&lt;0, "MINUS BESTAND ❌", "OK")</f>
        <v/>
      </c>
    </row>
    <row r="23">
      <c r="A23" t="n">
        <v>19</v>
      </c>
      <c r="B23" s="16" t="inlineStr"/>
      <c r="C23" s="16" t="inlineStr"/>
      <c r="D23" s="16" t="inlineStr"/>
      <c r="E23" s="16" t="inlineStr">
        <is>
          <t>Offen</t>
        </is>
      </c>
      <c r="F23" s="16" t="n">
        <v>0</v>
      </c>
      <c r="G23" s="16" t="n">
        <v>0</v>
      </c>
      <c r="H23" s="16" t="inlineStr">
        <is>
          <t>Bar</t>
        </is>
      </c>
      <c r="I23" s="16" t="n">
        <v>0</v>
      </c>
      <c r="J23" s="16" t="inlineStr">
        <is>
          <t>Fahrtkosten</t>
        </is>
      </c>
      <c r="K23" s="5">
        <f>F23*'1_Master_Dashboard'!B$2</f>
        <v/>
      </c>
      <c r="L23" s="5">
        <f>IF(C23="Verkauf", G23, K23)</f>
        <v/>
      </c>
      <c r="M23" s="5">
        <f>L23-K23-I23</f>
        <v/>
      </c>
      <c r="N23" s="5">
        <f>IF(F23&gt;0, IF((G23/F23)&gt;('1_Master_Dashboard'!B$2*1.2), "Top Deal 🚀", IF((G23/F23)&lt;'1_Master_Dashboard'!B$2, "Verlust ⚠️", "Standard")), "")</f>
        <v/>
      </c>
      <c r="O23" s="5">
        <f>IF('1_Master_Dashboard'!B$14&lt;0, "MINUS BESTAND ❌", "OK")</f>
        <v/>
      </c>
    </row>
    <row r="24">
      <c r="A24" t="n">
        <v>20</v>
      </c>
      <c r="B24" s="16" t="inlineStr"/>
      <c r="C24" s="16" t="inlineStr"/>
      <c r="D24" s="16" t="inlineStr"/>
      <c r="E24" s="16" t="inlineStr">
        <is>
          <t>Offen</t>
        </is>
      </c>
      <c r="F24" s="16" t="n">
        <v>0</v>
      </c>
      <c r="G24" s="16" t="n">
        <v>0</v>
      </c>
      <c r="H24" s="16" t="inlineStr">
        <is>
          <t>Bar</t>
        </is>
      </c>
      <c r="I24" s="16" t="n">
        <v>0</v>
      </c>
      <c r="J24" s="16" t="inlineStr">
        <is>
          <t>Fahrtkosten</t>
        </is>
      </c>
      <c r="K24" s="5">
        <f>F24*'1_Master_Dashboard'!B$2</f>
        <v/>
      </c>
      <c r="L24" s="5">
        <f>IF(C24="Verkauf", G24, K24)</f>
        <v/>
      </c>
      <c r="M24" s="5">
        <f>L24-K24-I24</f>
        <v/>
      </c>
      <c r="N24" s="5">
        <f>IF(F24&gt;0, IF((G24/F24)&gt;('1_Master_Dashboard'!B$2*1.2), "Top Deal 🚀", IF((G24/F24)&lt;'1_Master_Dashboard'!B$2, "Verlust ⚠️", "Standard")), "")</f>
        <v/>
      </c>
      <c r="O24" s="5">
        <f>IF('1_Master_Dashboard'!B$14&lt;0, "MINUS BESTAND ❌", "OK")</f>
        <v/>
      </c>
    </row>
    <row r="25">
      <c r="A25" t="n">
        <v>21</v>
      </c>
      <c r="B25" s="16" t="inlineStr"/>
      <c r="C25" s="16" t="inlineStr"/>
      <c r="D25" s="16" t="inlineStr"/>
      <c r="E25" s="16" t="inlineStr">
        <is>
          <t>Offen</t>
        </is>
      </c>
      <c r="F25" s="16" t="n">
        <v>0</v>
      </c>
      <c r="G25" s="16" t="n">
        <v>0</v>
      </c>
      <c r="H25" s="16" t="inlineStr">
        <is>
          <t>Bar</t>
        </is>
      </c>
      <c r="I25" s="16" t="n">
        <v>0</v>
      </c>
      <c r="J25" s="16" t="inlineStr">
        <is>
          <t>Fahrtkosten</t>
        </is>
      </c>
      <c r="K25" s="5">
        <f>F25*'1_Master_Dashboard'!B$2</f>
        <v/>
      </c>
      <c r="L25" s="5">
        <f>IF(C25="Verkauf", G25, K25)</f>
        <v/>
      </c>
      <c r="M25" s="5">
        <f>L25-K25-I25</f>
        <v/>
      </c>
      <c r="N25" s="5">
        <f>IF(F25&gt;0, IF((G25/F25)&gt;('1_Master_Dashboard'!B$2*1.2), "Top Deal 🚀", IF((G25/F25)&lt;'1_Master_Dashboard'!B$2, "Verlust ⚠️", "Standard")), "")</f>
        <v/>
      </c>
      <c r="O25" s="5">
        <f>IF('1_Master_Dashboard'!B$14&lt;0, "MINUS BESTAND ❌", "OK")</f>
        <v/>
      </c>
    </row>
    <row r="26">
      <c r="A26" t="n">
        <v>22</v>
      </c>
      <c r="B26" s="16" t="inlineStr"/>
      <c r="C26" s="16" t="inlineStr"/>
      <c r="D26" s="16" t="inlineStr"/>
      <c r="E26" s="16" t="inlineStr">
        <is>
          <t>Offen</t>
        </is>
      </c>
      <c r="F26" s="16" t="n">
        <v>0</v>
      </c>
      <c r="G26" s="16" t="n">
        <v>0</v>
      </c>
      <c r="H26" s="16" t="inlineStr">
        <is>
          <t>Bar</t>
        </is>
      </c>
      <c r="I26" s="16" t="n">
        <v>0</v>
      </c>
      <c r="J26" s="16" t="inlineStr">
        <is>
          <t>Fahrtkosten</t>
        </is>
      </c>
      <c r="K26" s="5">
        <f>F26*'1_Master_Dashboard'!B$2</f>
        <v/>
      </c>
      <c r="L26" s="5">
        <f>IF(C26="Verkauf", G26, K26)</f>
        <v/>
      </c>
      <c r="M26" s="5">
        <f>L26-K26-I26</f>
        <v/>
      </c>
      <c r="N26" s="5">
        <f>IF(F26&gt;0, IF((G26/F26)&gt;('1_Master_Dashboard'!B$2*1.2), "Top Deal 🚀", IF((G26/F26)&lt;'1_Master_Dashboard'!B$2, "Verlust ⚠️", "Standard")), "")</f>
        <v/>
      </c>
      <c r="O26" s="5">
        <f>IF('1_Master_Dashboard'!B$14&lt;0, "MINUS BESTAND ❌", "OK")</f>
        <v/>
      </c>
    </row>
    <row r="27">
      <c r="A27" t="n">
        <v>23</v>
      </c>
      <c r="B27" s="16" t="inlineStr"/>
      <c r="C27" s="16" t="inlineStr"/>
      <c r="D27" s="16" t="inlineStr"/>
      <c r="E27" s="16" t="inlineStr">
        <is>
          <t>Offen</t>
        </is>
      </c>
      <c r="F27" s="16" t="n">
        <v>0</v>
      </c>
      <c r="G27" s="16" t="n">
        <v>0</v>
      </c>
      <c r="H27" s="16" t="inlineStr">
        <is>
          <t>Bar</t>
        </is>
      </c>
      <c r="I27" s="16" t="n">
        <v>0</v>
      </c>
      <c r="J27" s="16" t="inlineStr">
        <is>
          <t>Fahrtkosten</t>
        </is>
      </c>
      <c r="K27" s="5">
        <f>F27*'1_Master_Dashboard'!B$2</f>
        <v/>
      </c>
      <c r="L27" s="5">
        <f>IF(C27="Verkauf", G27, K27)</f>
        <v/>
      </c>
      <c r="M27" s="5">
        <f>L27-K27-I27</f>
        <v/>
      </c>
      <c r="N27" s="5">
        <f>IF(F27&gt;0, IF((G27/F27)&gt;('1_Master_Dashboard'!B$2*1.2), "Top Deal 🚀", IF((G27/F27)&lt;'1_Master_Dashboard'!B$2, "Verlust ⚠️", "Standard")), "")</f>
        <v/>
      </c>
      <c r="O27" s="5">
        <f>IF('1_Master_Dashboard'!B$14&lt;0, "MINUS BESTAND ❌", "OK")</f>
        <v/>
      </c>
    </row>
    <row r="28">
      <c r="A28" t="n">
        <v>24</v>
      </c>
      <c r="B28" s="16" t="inlineStr"/>
      <c r="C28" s="16" t="inlineStr"/>
      <c r="D28" s="16" t="inlineStr"/>
      <c r="E28" s="16" t="inlineStr">
        <is>
          <t>Offen</t>
        </is>
      </c>
      <c r="F28" s="16" t="n">
        <v>0</v>
      </c>
      <c r="G28" s="16" t="n">
        <v>0</v>
      </c>
      <c r="H28" s="16" t="inlineStr">
        <is>
          <t>Bar</t>
        </is>
      </c>
      <c r="I28" s="16" t="n">
        <v>0</v>
      </c>
      <c r="J28" s="16" t="inlineStr">
        <is>
          <t>Fahrtkosten</t>
        </is>
      </c>
      <c r="K28" s="5">
        <f>F28*'1_Master_Dashboard'!B$2</f>
        <v/>
      </c>
      <c r="L28" s="5">
        <f>IF(C28="Verkauf", G28, K28)</f>
        <v/>
      </c>
      <c r="M28" s="5">
        <f>L28-K28-I28</f>
        <v/>
      </c>
      <c r="N28" s="5">
        <f>IF(F28&gt;0, IF((G28/F28)&gt;('1_Master_Dashboard'!B$2*1.2), "Top Deal 🚀", IF((G28/F28)&lt;'1_Master_Dashboard'!B$2, "Verlust ⚠️", "Standard")), "")</f>
        <v/>
      </c>
      <c r="O28" s="5">
        <f>IF('1_Master_Dashboard'!B$14&lt;0, "MINUS BESTAND ❌", "OK")</f>
        <v/>
      </c>
    </row>
    <row r="29">
      <c r="A29" t="n">
        <v>25</v>
      </c>
      <c r="B29" s="16" t="inlineStr"/>
      <c r="C29" s="16" t="inlineStr"/>
      <c r="D29" s="16" t="inlineStr"/>
      <c r="E29" s="16" t="inlineStr">
        <is>
          <t>Offen</t>
        </is>
      </c>
      <c r="F29" s="16" t="n">
        <v>0</v>
      </c>
      <c r="G29" s="16" t="n">
        <v>0</v>
      </c>
      <c r="H29" s="16" t="inlineStr">
        <is>
          <t>Bar</t>
        </is>
      </c>
      <c r="I29" s="16" t="n">
        <v>0</v>
      </c>
      <c r="J29" s="16" t="inlineStr">
        <is>
          <t>Fahrtkosten</t>
        </is>
      </c>
      <c r="K29" s="5">
        <f>F29*'1_Master_Dashboard'!B$2</f>
        <v/>
      </c>
      <c r="L29" s="5">
        <f>IF(C29="Verkauf", G29, K29)</f>
        <v/>
      </c>
      <c r="M29" s="5">
        <f>L29-K29-I29</f>
        <v/>
      </c>
      <c r="N29" s="5">
        <f>IF(F29&gt;0, IF((G29/F29)&gt;('1_Master_Dashboard'!B$2*1.2), "Top Deal 🚀", IF((G29/F29)&lt;'1_Master_Dashboard'!B$2, "Verlust ⚠️", "Standard")), "")</f>
        <v/>
      </c>
      <c r="O29" s="5">
        <f>IF('1_Master_Dashboard'!B$14&lt;0, "MINUS BESTAND ❌", "OK")</f>
        <v/>
      </c>
    </row>
    <row r="30">
      <c r="A30" t="n">
        <v>26</v>
      </c>
      <c r="B30" s="16" t="inlineStr"/>
      <c r="C30" s="16" t="inlineStr"/>
      <c r="D30" s="16" t="inlineStr"/>
      <c r="E30" s="16" t="inlineStr">
        <is>
          <t>Offen</t>
        </is>
      </c>
      <c r="F30" s="16" t="n">
        <v>0</v>
      </c>
      <c r="G30" s="16" t="n">
        <v>0</v>
      </c>
      <c r="H30" s="16" t="inlineStr">
        <is>
          <t>Bar</t>
        </is>
      </c>
      <c r="I30" s="16" t="n">
        <v>0</v>
      </c>
      <c r="J30" s="16" t="inlineStr">
        <is>
          <t>Fahrtkosten</t>
        </is>
      </c>
      <c r="K30" s="5">
        <f>F30*'1_Master_Dashboard'!B$2</f>
        <v/>
      </c>
      <c r="L30" s="5">
        <f>IF(C30="Verkauf", G30, K30)</f>
        <v/>
      </c>
      <c r="M30" s="5">
        <f>L30-K30-I30</f>
        <v/>
      </c>
      <c r="N30" s="5">
        <f>IF(F30&gt;0, IF((G30/F30)&gt;('1_Master_Dashboard'!B$2*1.2), "Top Deal 🚀", IF((G30/F30)&lt;'1_Master_Dashboard'!B$2, "Verlust ⚠️", "Standard")), "")</f>
        <v/>
      </c>
      <c r="O30" s="5">
        <f>IF('1_Master_Dashboard'!B$14&lt;0, "MINUS BESTAND ❌", "OK")</f>
        <v/>
      </c>
    </row>
    <row r="31">
      <c r="A31" t="n">
        <v>27</v>
      </c>
      <c r="B31" s="16" t="inlineStr"/>
      <c r="C31" s="16" t="inlineStr"/>
      <c r="D31" s="16" t="inlineStr"/>
      <c r="E31" s="16" t="inlineStr">
        <is>
          <t>Offen</t>
        </is>
      </c>
      <c r="F31" s="16" t="n">
        <v>0</v>
      </c>
      <c r="G31" s="16" t="n">
        <v>0</v>
      </c>
      <c r="H31" s="16" t="inlineStr">
        <is>
          <t>Bar</t>
        </is>
      </c>
      <c r="I31" s="16" t="n">
        <v>0</v>
      </c>
      <c r="J31" s="16" t="inlineStr">
        <is>
          <t>Fahrtkosten</t>
        </is>
      </c>
      <c r="K31" s="5">
        <f>F31*'1_Master_Dashboard'!B$2</f>
        <v/>
      </c>
      <c r="L31" s="5">
        <f>IF(C31="Verkauf", G31, K31)</f>
        <v/>
      </c>
      <c r="M31" s="5">
        <f>L31-K31-I31</f>
        <v/>
      </c>
      <c r="N31" s="5">
        <f>IF(F31&gt;0, IF((G31/F31)&gt;('1_Master_Dashboard'!B$2*1.2), "Top Deal 🚀", IF((G31/F31)&lt;'1_Master_Dashboard'!B$2, "Verlust ⚠️", "Standard")), "")</f>
        <v/>
      </c>
      <c r="O31" s="5">
        <f>IF('1_Master_Dashboard'!B$14&lt;0, "MINUS BESTAND ❌", "OK")</f>
        <v/>
      </c>
    </row>
    <row r="32">
      <c r="A32" t="n">
        <v>28</v>
      </c>
      <c r="B32" s="16" t="inlineStr"/>
      <c r="C32" s="16" t="inlineStr"/>
      <c r="D32" s="16" t="inlineStr"/>
      <c r="E32" s="16" t="inlineStr">
        <is>
          <t>Offen</t>
        </is>
      </c>
      <c r="F32" s="16" t="n">
        <v>0</v>
      </c>
      <c r="G32" s="16" t="n">
        <v>0</v>
      </c>
      <c r="H32" s="16" t="inlineStr">
        <is>
          <t>Bar</t>
        </is>
      </c>
      <c r="I32" s="16" t="n">
        <v>0</v>
      </c>
      <c r="J32" s="16" t="inlineStr">
        <is>
          <t>Fahrtkosten</t>
        </is>
      </c>
      <c r="K32" s="5">
        <f>F32*'1_Master_Dashboard'!B$2</f>
        <v/>
      </c>
      <c r="L32" s="5">
        <f>IF(C32="Verkauf", G32, K32)</f>
        <v/>
      </c>
      <c r="M32" s="5">
        <f>L32-K32-I32</f>
        <v/>
      </c>
      <c r="N32" s="5">
        <f>IF(F32&gt;0, IF((G32/F32)&gt;('1_Master_Dashboard'!B$2*1.2), "Top Deal 🚀", IF((G32/F32)&lt;'1_Master_Dashboard'!B$2, "Verlust ⚠️", "Standard")), "")</f>
        <v/>
      </c>
      <c r="O32" s="5">
        <f>IF('1_Master_Dashboard'!B$14&lt;0, "MINUS BESTAND ❌", "OK")</f>
        <v/>
      </c>
    </row>
    <row r="33">
      <c r="A33" t="n">
        <v>29</v>
      </c>
      <c r="B33" s="16" t="inlineStr"/>
      <c r="C33" s="16" t="inlineStr"/>
      <c r="D33" s="16" t="inlineStr"/>
      <c r="E33" s="16" t="inlineStr">
        <is>
          <t>Offen</t>
        </is>
      </c>
      <c r="F33" s="16" t="n">
        <v>0</v>
      </c>
      <c r="G33" s="16" t="n">
        <v>0</v>
      </c>
      <c r="H33" s="16" t="inlineStr">
        <is>
          <t>Bar</t>
        </is>
      </c>
      <c r="I33" s="16" t="n">
        <v>0</v>
      </c>
      <c r="J33" s="16" t="inlineStr">
        <is>
          <t>Fahrtkosten</t>
        </is>
      </c>
      <c r="K33" s="5">
        <f>F33*'1_Master_Dashboard'!B$2</f>
        <v/>
      </c>
      <c r="L33" s="5">
        <f>IF(C33="Verkauf", G33, K33)</f>
        <v/>
      </c>
      <c r="M33" s="5">
        <f>L33-K33-I33</f>
        <v/>
      </c>
      <c r="N33" s="5">
        <f>IF(F33&gt;0, IF((G33/F33)&gt;('1_Master_Dashboard'!B$2*1.2), "Top Deal 🚀", IF((G33/F33)&lt;'1_Master_Dashboard'!B$2, "Verlust ⚠️", "Standard")), "")</f>
        <v/>
      </c>
      <c r="O33" s="5">
        <f>IF('1_Master_Dashboard'!B$14&lt;0, "MINUS BESTAND ❌", "OK")</f>
        <v/>
      </c>
    </row>
    <row r="34">
      <c r="A34" t="n">
        <v>30</v>
      </c>
      <c r="B34" s="16" t="inlineStr"/>
      <c r="C34" s="16" t="inlineStr"/>
      <c r="D34" s="16" t="inlineStr"/>
      <c r="E34" s="16" t="inlineStr">
        <is>
          <t>Offen</t>
        </is>
      </c>
      <c r="F34" s="16" t="n">
        <v>0</v>
      </c>
      <c r="G34" s="16" t="n">
        <v>0</v>
      </c>
      <c r="H34" s="16" t="inlineStr">
        <is>
          <t>Bar</t>
        </is>
      </c>
      <c r="I34" s="16" t="n">
        <v>0</v>
      </c>
      <c r="J34" s="16" t="inlineStr">
        <is>
          <t>Fahrtkosten</t>
        </is>
      </c>
      <c r="K34" s="5">
        <f>F34*'1_Master_Dashboard'!B$2</f>
        <v/>
      </c>
      <c r="L34" s="5">
        <f>IF(C34="Verkauf", G34, K34)</f>
        <v/>
      </c>
      <c r="M34" s="5">
        <f>L34-K34-I34</f>
        <v/>
      </c>
      <c r="N34" s="5">
        <f>IF(F34&gt;0, IF((G34/F34)&gt;('1_Master_Dashboard'!B$2*1.2), "Top Deal 🚀", IF((G34/F34)&lt;'1_Master_Dashboard'!B$2, "Verlust ⚠️", "Standard")), "")</f>
        <v/>
      </c>
      <c r="O34" s="5">
        <f>IF('1_Master_Dashboard'!B$14&lt;0, "MINUS BESTAND ❌", "OK")</f>
        <v/>
      </c>
    </row>
    <row r="35">
      <c r="A35" t="n">
        <v>31</v>
      </c>
      <c r="B35" s="16" t="inlineStr"/>
      <c r="C35" s="16" t="inlineStr"/>
      <c r="D35" s="16" t="inlineStr"/>
      <c r="E35" s="16" t="inlineStr">
        <is>
          <t>Offen</t>
        </is>
      </c>
      <c r="F35" s="16" t="n">
        <v>0</v>
      </c>
      <c r="G35" s="16" t="n">
        <v>0</v>
      </c>
      <c r="H35" s="16" t="inlineStr">
        <is>
          <t>Bar</t>
        </is>
      </c>
      <c r="I35" s="16" t="n">
        <v>0</v>
      </c>
      <c r="J35" s="16" t="inlineStr">
        <is>
          <t>Fahrtkosten</t>
        </is>
      </c>
      <c r="K35" s="5">
        <f>F35*'1_Master_Dashboard'!B$2</f>
        <v/>
      </c>
      <c r="L35" s="5">
        <f>IF(C35="Verkauf", G35, K35)</f>
        <v/>
      </c>
      <c r="M35" s="5">
        <f>L35-K35-I35</f>
        <v/>
      </c>
      <c r="N35" s="5">
        <f>IF(F35&gt;0, IF((G35/F35)&gt;('1_Master_Dashboard'!B$2*1.2), "Top Deal 🚀", IF((G35/F35)&lt;'1_Master_Dashboard'!B$2, "Verlust ⚠️", "Standard")), "")</f>
        <v/>
      </c>
      <c r="O35" s="5">
        <f>IF('1_Master_Dashboard'!B$14&lt;0, "MINUS BESTAND ❌", "OK")</f>
        <v/>
      </c>
    </row>
    <row r="36">
      <c r="A36" t="n">
        <v>32</v>
      </c>
      <c r="B36" s="16" t="inlineStr"/>
      <c r="C36" s="16" t="inlineStr"/>
      <c r="D36" s="16" t="inlineStr"/>
      <c r="E36" s="16" t="inlineStr">
        <is>
          <t>Offen</t>
        </is>
      </c>
      <c r="F36" s="16" t="n">
        <v>0</v>
      </c>
      <c r="G36" s="16" t="n">
        <v>0</v>
      </c>
      <c r="H36" s="16" t="inlineStr">
        <is>
          <t>Bar</t>
        </is>
      </c>
      <c r="I36" s="16" t="n">
        <v>0</v>
      </c>
      <c r="J36" s="16" t="inlineStr">
        <is>
          <t>Fahrtkosten</t>
        </is>
      </c>
      <c r="K36" s="5">
        <f>F36*'1_Master_Dashboard'!B$2</f>
        <v/>
      </c>
      <c r="L36" s="5">
        <f>IF(C36="Verkauf", G36, K36)</f>
        <v/>
      </c>
      <c r="M36" s="5">
        <f>L36-K36-I36</f>
        <v/>
      </c>
      <c r="N36" s="5">
        <f>IF(F36&gt;0, IF((G36/F36)&gt;('1_Master_Dashboard'!B$2*1.2), "Top Deal 🚀", IF((G36/F36)&lt;'1_Master_Dashboard'!B$2, "Verlust ⚠️", "Standard")), "")</f>
        <v/>
      </c>
      <c r="O36" s="5">
        <f>IF('1_Master_Dashboard'!B$14&lt;0, "MINUS BESTAND ❌", "OK")</f>
        <v/>
      </c>
    </row>
    <row r="37">
      <c r="A37" t="n">
        <v>33</v>
      </c>
      <c r="B37" s="16" t="inlineStr"/>
      <c r="C37" s="16" t="inlineStr"/>
      <c r="D37" s="16" t="inlineStr"/>
      <c r="E37" s="16" t="inlineStr">
        <is>
          <t>Offen</t>
        </is>
      </c>
      <c r="F37" s="16" t="n">
        <v>0</v>
      </c>
      <c r="G37" s="16" t="n">
        <v>0</v>
      </c>
      <c r="H37" s="16" t="inlineStr">
        <is>
          <t>Bar</t>
        </is>
      </c>
      <c r="I37" s="16" t="n">
        <v>0</v>
      </c>
      <c r="J37" s="16" t="inlineStr">
        <is>
          <t>Fahrtkosten</t>
        </is>
      </c>
      <c r="K37" s="5">
        <f>F37*'1_Master_Dashboard'!B$2</f>
        <v/>
      </c>
      <c r="L37" s="5">
        <f>IF(C37="Verkauf", G37, K37)</f>
        <v/>
      </c>
      <c r="M37" s="5">
        <f>L37-K37-I37</f>
        <v/>
      </c>
      <c r="N37" s="5">
        <f>IF(F37&gt;0, IF((G37/F37)&gt;('1_Master_Dashboard'!B$2*1.2), "Top Deal 🚀", IF((G37/F37)&lt;'1_Master_Dashboard'!B$2, "Verlust ⚠️", "Standard")), "")</f>
        <v/>
      </c>
      <c r="O37" s="5">
        <f>IF('1_Master_Dashboard'!B$14&lt;0, "MINUS BESTAND ❌", "OK")</f>
        <v/>
      </c>
    </row>
    <row r="38">
      <c r="A38" t="n">
        <v>34</v>
      </c>
      <c r="B38" s="16" t="inlineStr"/>
      <c r="C38" s="16" t="inlineStr"/>
      <c r="D38" s="16" t="inlineStr"/>
      <c r="E38" s="16" t="inlineStr">
        <is>
          <t>Offen</t>
        </is>
      </c>
      <c r="F38" s="16" t="n">
        <v>0</v>
      </c>
      <c r="G38" s="16" t="n">
        <v>0</v>
      </c>
      <c r="H38" s="16" t="inlineStr">
        <is>
          <t>Bar</t>
        </is>
      </c>
      <c r="I38" s="16" t="n">
        <v>0</v>
      </c>
      <c r="J38" s="16" t="inlineStr">
        <is>
          <t>Fahrtkosten</t>
        </is>
      </c>
      <c r="K38" s="5">
        <f>F38*'1_Master_Dashboard'!B$2</f>
        <v/>
      </c>
      <c r="L38" s="5">
        <f>IF(C38="Verkauf", G38, K38)</f>
        <v/>
      </c>
      <c r="M38" s="5">
        <f>L38-K38-I38</f>
        <v/>
      </c>
      <c r="N38" s="5">
        <f>IF(F38&gt;0, IF((G38/F38)&gt;('1_Master_Dashboard'!B$2*1.2), "Top Deal 🚀", IF((G38/F38)&lt;'1_Master_Dashboard'!B$2, "Verlust ⚠️", "Standard")), "")</f>
        <v/>
      </c>
      <c r="O38" s="5">
        <f>IF('1_Master_Dashboard'!B$14&lt;0, "MINUS BESTAND ❌", "OK")</f>
        <v/>
      </c>
    </row>
    <row r="39">
      <c r="A39" t="n">
        <v>35</v>
      </c>
      <c r="B39" s="16" t="inlineStr"/>
      <c r="C39" s="16" t="inlineStr"/>
      <c r="D39" s="16" t="inlineStr"/>
      <c r="E39" s="16" t="inlineStr">
        <is>
          <t>Offen</t>
        </is>
      </c>
      <c r="F39" s="16" t="n">
        <v>0</v>
      </c>
      <c r="G39" s="16" t="n">
        <v>0</v>
      </c>
      <c r="H39" s="16" t="inlineStr">
        <is>
          <t>Bar</t>
        </is>
      </c>
      <c r="I39" s="16" t="n">
        <v>0</v>
      </c>
      <c r="J39" s="16" t="inlineStr">
        <is>
          <t>Fahrtkosten</t>
        </is>
      </c>
      <c r="K39" s="5">
        <f>F39*'1_Master_Dashboard'!B$2</f>
        <v/>
      </c>
      <c r="L39" s="5">
        <f>IF(C39="Verkauf", G39, K39)</f>
        <v/>
      </c>
      <c r="M39" s="5">
        <f>L39-K39-I39</f>
        <v/>
      </c>
      <c r="N39" s="5">
        <f>IF(F39&gt;0, IF((G39/F39)&gt;('1_Master_Dashboard'!B$2*1.2), "Top Deal 🚀", IF((G39/F39)&lt;'1_Master_Dashboard'!B$2, "Verlust ⚠️", "Standard")), "")</f>
        <v/>
      </c>
      <c r="O39" s="5">
        <f>IF('1_Master_Dashboard'!B$14&lt;0, "MINUS BESTAND ❌", "OK")</f>
        <v/>
      </c>
    </row>
    <row r="40">
      <c r="A40" t="n">
        <v>36</v>
      </c>
      <c r="B40" s="16" t="inlineStr"/>
      <c r="C40" s="16" t="inlineStr"/>
      <c r="D40" s="16" t="inlineStr"/>
      <c r="E40" s="16" t="inlineStr">
        <is>
          <t>Offen</t>
        </is>
      </c>
      <c r="F40" s="16" t="n">
        <v>0</v>
      </c>
      <c r="G40" s="16" t="n">
        <v>0</v>
      </c>
      <c r="H40" s="16" t="inlineStr">
        <is>
          <t>Bar</t>
        </is>
      </c>
      <c r="I40" s="16" t="n">
        <v>0</v>
      </c>
      <c r="J40" s="16" t="inlineStr">
        <is>
          <t>Fahrtkosten</t>
        </is>
      </c>
      <c r="K40" s="5">
        <f>F40*'1_Master_Dashboard'!B$2</f>
        <v/>
      </c>
      <c r="L40" s="5">
        <f>IF(C40="Verkauf", G40, K40)</f>
        <v/>
      </c>
      <c r="M40" s="5">
        <f>L40-K40-I40</f>
        <v/>
      </c>
      <c r="N40" s="5">
        <f>IF(F40&gt;0, IF((G40/F40)&gt;('1_Master_Dashboard'!B$2*1.2), "Top Deal 🚀", IF((G40/F40)&lt;'1_Master_Dashboard'!B$2, "Verlust ⚠️", "Standard")), "")</f>
        <v/>
      </c>
      <c r="O40" s="5">
        <f>IF('1_Master_Dashboard'!B$14&lt;0, "MINUS BESTAND ❌", "OK")</f>
        <v/>
      </c>
    </row>
    <row r="41">
      <c r="A41" t="n">
        <v>37</v>
      </c>
      <c r="B41" s="16" t="inlineStr"/>
      <c r="C41" s="16" t="inlineStr"/>
      <c r="D41" s="16" t="inlineStr"/>
      <c r="E41" s="16" t="inlineStr">
        <is>
          <t>Offen</t>
        </is>
      </c>
      <c r="F41" s="16" t="n">
        <v>0</v>
      </c>
      <c r="G41" s="16" t="n">
        <v>0</v>
      </c>
      <c r="H41" s="16" t="inlineStr">
        <is>
          <t>Bar</t>
        </is>
      </c>
      <c r="I41" s="16" t="n">
        <v>0</v>
      </c>
      <c r="J41" s="16" t="inlineStr">
        <is>
          <t>Fahrtkosten</t>
        </is>
      </c>
      <c r="K41" s="5">
        <f>F41*'1_Master_Dashboard'!B$2</f>
        <v/>
      </c>
      <c r="L41" s="5">
        <f>IF(C41="Verkauf", G41, K41)</f>
        <v/>
      </c>
      <c r="M41" s="5">
        <f>L41-K41-I41</f>
        <v/>
      </c>
      <c r="N41" s="5">
        <f>IF(F41&gt;0, IF((G41/F41)&gt;('1_Master_Dashboard'!B$2*1.2), "Top Deal 🚀", IF((G41/F41)&lt;'1_Master_Dashboard'!B$2, "Verlust ⚠️", "Standard")), "")</f>
        <v/>
      </c>
      <c r="O41" s="5">
        <f>IF('1_Master_Dashboard'!B$14&lt;0, "MINUS BESTAND ❌", "OK")</f>
        <v/>
      </c>
    </row>
    <row r="42">
      <c r="A42" t="n">
        <v>38</v>
      </c>
      <c r="B42" s="16" t="inlineStr"/>
      <c r="C42" s="16" t="inlineStr"/>
      <c r="D42" s="16" t="inlineStr"/>
      <c r="E42" s="16" t="inlineStr">
        <is>
          <t>Offen</t>
        </is>
      </c>
      <c r="F42" s="16" t="n">
        <v>0</v>
      </c>
      <c r="G42" s="16" t="n">
        <v>0</v>
      </c>
      <c r="H42" s="16" t="inlineStr">
        <is>
          <t>Bar</t>
        </is>
      </c>
      <c r="I42" s="16" t="n">
        <v>0</v>
      </c>
      <c r="J42" s="16" t="inlineStr">
        <is>
          <t>Fahrtkosten</t>
        </is>
      </c>
      <c r="K42" s="5">
        <f>F42*'1_Master_Dashboard'!B$2</f>
        <v/>
      </c>
      <c r="L42" s="5">
        <f>IF(C42="Verkauf", G42, K42)</f>
        <v/>
      </c>
      <c r="M42" s="5">
        <f>L42-K42-I42</f>
        <v/>
      </c>
      <c r="N42" s="5">
        <f>IF(F42&gt;0, IF((G42/F42)&gt;('1_Master_Dashboard'!B$2*1.2), "Top Deal 🚀", IF((G42/F42)&lt;'1_Master_Dashboard'!B$2, "Verlust ⚠️", "Standard")), "")</f>
        <v/>
      </c>
      <c r="O42" s="5">
        <f>IF('1_Master_Dashboard'!B$14&lt;0, "MINUS BESTAND ❌", "OK")</f>
        <v/>
      </c>
    </row>
    <row r="43">
      <c r="A43" t="n">
        <v>39</v>
      </c>
      <c r="B43" s="16" t="inlineStr"/>
      <c r="C43" s="16" t="inlineStr"/>
      <c r="D43" s="16" t="inlineStr"/>
      <c r="E43" s="16" t="inlineStr">
        <is>
          <t>Offen</t>
        </is>
      </c>
      <c r="F43" s="16" t="n">
        <v>0</v>
      </c>
      <c r="G43" s="16" t="n">
        <v>0</v>
      </c>
      <c r="H43" s="16" t="inlineStr">
        <is>
          <t>Bar</t>
        </is>
      </c>
      <c r="I43" s="16" t="n">
        <v>0</v>
      </c>
      <c r="J43" s="16" t="inlineStr">
        <is>
          <t>Fahrtkosten</t>
        </is>
      </c>
      <c r="K43" s="5">
        <f>F43*'1_Master_Dashboard'!B$2</f>
        <v/>
      </c>
      <c r="L43" s="5">
        <f>IF(C43="Verkauf", G43, K43)</f>
        <v/>
      </c>
      <c r="M43" s="5">
        <f>L43-K43-I43</f>
        <v/>
      </c>
      <c r="N43" s="5">
        <f>IF(F43&gt;0, IF((G43/F43)&gt;('1_Master_Dashboard'!B$2*1.2), "Top Deal 🚀", IF((G43/F43)&lt;'1_Master_Dashboard'!B$2, "Verlust ⚠️", "Standard")), "")</f>
        <v/>
      </c>
      <c r="O43" s="5">
        <f>IF('1_Master_Dashboard'!B$14&lt;0, "MINUS BESTAND ❌", "OK")</f>
        <v/>
      </c>
    </row>
    <row r="44">
      <c r="A44" t="n">
        <v>40</v>
      </c>
      <c r="B44" s="16" t="inlineStr"/>
      <c r="C44" s="16" t="inlineStr"/>
      <c r="D44" s="16" t="inlineStr"/>
      <c r="E44" s="16" t="inlineStr">
        <is>
          <t>Offen</t>
        </is>
      </c>
      <c r="F44" s="16" t="n">
        <v>0</v>
      </c>
      <c r="G44" s="16" t="n">
        <v>0</v>
      </c>
      <c r="H44" s="16" t="inlineStr">
        <is>
          <t>Bar</t>
        </is>
      </c>
      <c r="I44" s="16" t="n">
        <v>0</v>
      </c>
      <c r="J44" s="16" t="inlineStr">
        <is>
          <t>Fahrtkosten</t>
        </is>
      </c>
      <c r="K44" s="5">
        <f>F44*'1_Master_Dashboard'!B$2</f>
        <v/>
      </c>
      <c r="L44" s="5">
        <f>IF(C44="Verkauf", G44, K44)</f>
        <v/>
      </c>
      <c r="M44" s="5">
        <f>L44-K44-I44</f>
        <v/>
      </c>
      <c r="N44" s="5">
        <f>IF(F44&gt;0, IF((G44/F44)&gt;('1_Master_Dashboard'!B$2*1.2), "Top Deal 🚀", IF((G44/F44)&lt;'1_Master_Dashboard'!B$2, "Verlust ⚠️", "Standard")), "")</f>
        <v/>
      </c>
      <c r="O44" s="5">
        <f>IF('1_Master_Dashboard'!B$14&lt;0, "MINUS BESTAND ❌", "OK")</f>
        <v/>
      </c>
    </row>
  </sheetData>
  <mergeCells count="3">
    <mergeCell ref="B1:J2"/>
    <mergeCell ref="K1:O2"/>
    <mergeCell ref="A1:A2"/>
  </mergeCells>
  <dataValidations count="4">
    <dataValidation sqref="C5:C100" showDropDown="0" showInputMessage="0" showErrorMessage="0" allowBlank="1" type="list">
      <formula1>"Verkauf,Eigenkonsum"</formula1>
    </dataValidation>
    <dataValidation sqref="E5:E100" showDropDown="0" showInputMessage="0" showErrorMessage="0" allowBlank="1" type="list">
      <formula1>"Bezahlt,Offen"</formula1>
    </dataValidation>
    <dataValidation sqref="H5:H100" showDropDown="0" showInputMessage="0" showErrorMessage="0" allowBlank="1" type="list">
      <formula1>"Bar,Twint,Krypto"</formula1>
    </dataValidation>
    <dataValidation sqref="J5:J100" showDropDown="0" showInputMessage="0" showErrorMessage="0" allowBlank="1" type="list">
      <formula1>"Fahrtkosten,Verpackung,Sonstiges"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35" customWidth="1" min="11" max="11"/>
  </cols>
  <sheetData>
    <row r="1">
      <c r="B1" s="12" t="inlineStr">
        <is>
          <t>⬇️ HIER EINTRAGEN (EINGABEBEREICH) ⬇️</t>
        </is>
      </c>
      <c r="K1" s="13" t="inlineStr">
        <is>
          <t>🚫 NICHT ÄNDERN (AUTOMATISCHE FORMELN) 🚫</t>
        </is>
      </c>
    </row>
    <row r="2"/>
    <row r="3"/>
    <row r="4">
      <c r="A4" s="14" t="inlineStr">
        <is>
          <t>🔒 Nr</t>
        </is>
      </c>
      <c r="B4" s="15" t="inlineStr">
        <is>
          <t>✏️ Datum</t>
        </is>
      </c>
      <c r="C4" s="15" t="inlineStr">
        <is>
          <t>✏️ Art</t>
        </is>
      </c>
      <c r="D4" s="15" t="inlineStr">
        <is>
          <t>✏️ Kunde / Notiz</t>
        </is>
      </c>
      <c r="E4" s="15" t="inlineStr">
        <is>
          <t>✏️ Zahlung</t>
        </is>
      </c>
      <c r="F4" s="15" t="inlineStr">
        <is>
          <t>✏️ Menge (g)</t>
        </is>
      </c>
      <c r="G4" s="15" t="inlineStr">
        <is>
          <t>✏️ Preis (CHF)</t>
        </is>
      </c>
      <c r="H4" s="15" t="inlineStr">
        <is>
          <t>✏️ Zahlungsart</t>
        </is>
      </c>
      <c r="I4" s="15" t="inlineStr">
        <is>
          <t>✏️ Spesen (CHF)</t>
        </is>
      </c>
      <c r="J4" s="15" t="inlineStr">
        <is>
          <t>✏️ Spesen-Kategorie</t>
        </is>
      </c>
      <c r="K4" s="14" t="inlineStr">
        <is>
          <t>🔒 Basiswert (CHF)</t>
        </is>
      </c>
      <c r="L4" s="14" t="inlineStr">
        <is>
          <t>🔒 Erlös intern (CHF)</t>
        </is>
      </c>
      <c r="M4" s="14" t="inlineStr">
        <is>
          <t>🔒 Netto Profit (CHF)</t>
        </is>
      </c>
      <c r="N4" s="14" t="inlineStr">
        <is>
          <t>🔒 Deal-Rating</t>
        </is>
      </c>
      <c r="O4" s="14" t="inlineStr">
        <is>
          <t>🔒 Lager-Warnung</t>
        </is>
      </c>
    </row>
    <row r="5">
      <c r="A5" t="n">
        <v>1</v>
      </c>
      <c r="B5" s="16" t="inlineStr"/>
      <c r="C5" s="16" t="inlineStr"/>
      <c r="D5" s="16" t="inlineStr"/>
      <c r="E5" s="16" t="inlineStr">
        <is>
          <t>Offen</t>
        </is>
      </c>
      <c r="F5" s="16" t="n">
        <v>0</v>
      </c>
      <c r="G5" s="16" t="n">
        <v>0</v>
      </c>
      <c r="H5" s="16" t="inlineStr">
        <is>
          <t>Bar</t>
        </is>
      </c>
      <c r="I5" s="16" t="n">
        <v>0</v>
      </c>
      <c r="J5" s="16" t="inlineStr">
        <is>
          <t>Fahrtkosten</t>
        </is>
      </c>
      <c r="K5" s="5">
        <f>F5*'1_Master_Dashboard'!B$2</f>
        <v/>
      </c>
      <c r="L5" s="5">
        <f>IF(C5="Verkauf", G5, K5)</f>
        <v/>
      </c>
      <c r="M5" s="5">
        <f>L5-K5-I5</f>
        <v/>
      </c>
      <c r="N5" s="5">
        <f>IF(F5&gt;0, IF((G5/F5)&gt;('1_Master_Dashboard'!B$2*1.2), "Top Deal 🚀", IF((G5/F5)&lt;'1_Master_Dashboard'!B$2, "Verlust ⚠️", "Standard")), "")</f>
        <v/>
      </c>
      <c r="O5" s="5">
        <f>IF('1_Master_Dashboard'!B$14&lt;0, "MINUS BESTAND ❌", "OK")</f>
        <v/>
      </c>
    </row>
    <row r="6">
      <c r="A6" t="n">
        <v>2</v>
      </c>
      <c r="B6" s="16" t="inlineStr"/>
      <c r="C6" s="16" t="inlineStr"/>
      <c r="D6" s="16" t="inlineStr"/>
      <c r="E6" s="16" t="inlineStr">
        <is>
          <t>Offen</t>
        </is>
      </c>
      <c r="F6" s="16" t="n">
        <v>0</v>
      </c>
      <c r="G6" s="16" t="n">
        <v>0</v>
      </c>
      <c r="H6" s="16" t="inlineStr">
        <is>
          <t>Bar</t>
        </is>
      </c>
      <c r="I6" s="16" t="n">
        <v>0</v>
      </c>
      <c r="J6" s="16" t="inlineStr">
        <is>
          <t>Fahrtkosten</t>
        </is>
      </c>
      <c r="K6" s="5">
        <f>F6*'1_Master_Dashboard'!B$2</f>
        <v/>
      </c>
      <c r="L6" s="5">
        <f>IF(C6="Verkauf", G6, K6)</f>
        <v/>
      </c>
      <c r="M6" s="5">
        <f>L6-K6-I6</f>
        <v/>
      </c>
      <c r="N6" s="5">
        <f>IF(F6&gt;0, IF((G6/F6)&gt;('1_Master_Dashboard'!B$2*1.2), "Top Deal 🚀", IF((G6/F6)&lt;'1_Master_Dashboard'!B$2, "Verlust ⚠️", "Standard")), "")</f>
        <v/>
      </c>
      <c r="O6" s="5">
        <f>IF('1_Master_Dashboard'!B$14&lt;0, "MINUS BESTAND ❌", "OK")</f>
        <v/>
      </c>
    </row>
    <row r="7">
      <c r="A7" t="n">
        <v>3</v>
      </c>
      <c r="B7" s="16" t="inlineStr"/>
      <c r="C7" s="16" t="inlineStr"/>
      <c r="D7" s="16" t="inlineStr"/>
      <c r="E7" s="16" t="inlineStr">
        <is>
          <t>Offen</t>
        </is>
      </c>
      <c r="F7" s="16" t="n">
        <v>0</v>
      </c>
      <c r="G7" s="16" t="n">
        <v>0</v>
      </c>
      <c r="H7" s="16" t="inlineStr">
        <is>
          <t>Bar</t>
        </is>
      </c>
      <c r="I7" s="16" t="n">
        <v>0</v>
      </c>
      <c r="J7" s="16" t="inlineStr">
        <is>
          <t>Fahrtkosten</t>
        </is>
      </c>
      <c r="K7" s="5">
        <f>F7*'1_Master_Dashboard'!B$2</f>
        <v/>
      </c>
      <c r="L7" s="5">
        <f>IF(C7="Verkauf", G7, K7)</f>
        <v/>
      </c>
      <c r="M7" s="5">
        <f>L7-K7-I7</f>
        <v/>
      </c>
      <c r="N7" s="5">
        <f>IF(F7&gt;0, IF((G7/F7)&gt;('1_Master_Dashboard'!B$2*1.2), "Top Deal 🚀", IF((G7/F7)&lt;'1_Master_Dashboard'!B$2, "Verlust ⚠️", "Standard")), "")</f>
        <v/>
      </c>
      <c r="O7" s="5">
        <f>IF('1_Master_Dashboard'!B$14&lt;0, "MINUS BESTAND ❌", "OK")</f>
        <v/>
      </c>
    </row>
    <row r="8">
      <c r="A8" t="n">
        <v>4</v>
      </c>
      <c r="B8" s="16" t="inlineStr"/>
      <c r="C8" s="16" t="inlineStr"/>
      <c r="D8" s="16" t="inlineStr"/>
      <c r="E8" s="16" t="inlineStr">
        <is>
          <t>Offen</t>
        </is>
      </c>
      <c r="F8" s="16" t="n">
        <v>0</v>
      </c>
      <c r="G8" s="16" t="n">
        <v>0</v>
      </c>
      <c r="H8" s="16" t="inlineStr">
        <is>
          <t>Bar</t>
        </is>
      </c>
      <c r="I8" s="16" t="n">
        <v>0</v>
      </c>
      <c r="J8" s="16" t="inlineStr">
        <is>
          <t>Fahrtkosten</t>
        </is>
      </c>
      <c r="K8" s="5">
        <f>F8*'1_Master_Dashboard'!B$2</f>
        <v/>
      </c>
      <c r="L8" s="5">
        <f>IF(C8="Verkauf", G8, K8)</f>
        <v/>
      </c>
      <c r="M8" s="5">
        <f>L8-K8-I8</f>
        <v/>
      </c>
      <c r="N8" s="5">
        <f>IF(F8&gt;0, IF((G8/F8)&gt;('1_Master_Dashboard'!B$2*1.2), "Top Deal 🚀", IF((G8/F8)&lt;'1_Master_Dashboard'!B$2, "Verlust ⚠️", "Standard")), "")</f>
        <v/>
      </c>
      <c r="O8" s="5">
        <f>IF('1_Master_Dashboard'!B$14&lt;0, "MINUS BESTAND ❌", "OK")</f>
        <v/>
      </c>
    </row>
    <row r="9">
      <c r="A9" t="n">
        <v>5</v>
      </c>
      <c r="B9" s="16" t="inlineStr"/>
      <c r="C9" s="16" t="inlineStr"/>
      <c r="D9" s="16" t="inlineStr"/>
      <c r="E9" s="16" t="inlineStr">
        <is>
          <t>Offen</t>
        </is>
      </c>
      <c r="F9" s="16" t="n">
        <v>0</v>
      </c>
      <c r="G9" s="16" t="n">
        <v>0</v>
      </c>
      <c r="H9" s="16" t="inlineStr">
        <is>
          <t>Bar</t>
        </is>
      </c>
      <c r="I9" s="16" t="n">
        <v>0</v>
      </c>
      <c r="J9" s="16" t="inlineStr">
        <is>
          <t>Fahrtkosten</t>
        </is>
      </c>
      <c r="K9" s="5">
        <f>F9*'1_Master_Dashboard'!B$2</f>
        <v/>
      </c>
      <c r="L9" s="5">
        <f>IF(C9="Verkauf", G9, K9)</f>
        <v/>
      </c>
      <c r="M9" s="5">
        <f>L9-K9-I9</f>
        <v/>
      </c>
      <c r="N9" s="5">
        <f>IF(F9&gt;0, IF((G9/F9)&gt;('1_Master_Dashboard'!B$2*1.2), "Top Deal 🚀", IF((G9/F9)&lt;'1_Master_Dashboard'!B$2, "Verlust ⚠️", "Standard")), "")</f>
        <v/>
      </c>
      <c r="O9" s="5">
        <f>IF('1_Master_Dashboard'!B$14&lt;0, "MINUS BESTAND ❌", "OK")</f>
        <v/>
      </c>
    </row>
    <row r="10">
      <c r="A10" t="n">
        <v>6</v>
      </c>
      <c r="B10" s="16" t="inlineStr"/>
      <c r="C10" s="16" t="inlineStr"/>
      <c r="D10" s="16" t="inlineStr"/>
      <c r="E10" s="16" t="inlineStr">
        <is>
          <t>Offen</t>
        </is>
      </c>
      <c r="F10" s="16" t="n">
        <v>0</v>
      </c>
      <c r="G10" s="16" t="n">
        <v>0</v>
      </c>
      <c r="H10" s="16" t="inlineStr">
        <is>
          <t>Bar</t>
        </is>
      </c>
      <c r="I10" s="16" t="n">
        <v>0</v>
      </c>
      <c r="J10" s="16" t="inlineStr">
        <is>
          <t>Fahrtkosten</t>
        </is>
      </c>
      <c r="K10" s="5">
        <f>F10*'1_Master_Dashboard'!B$2</f>
        <v/>
      </c>
      <c r="L10" s="5">
        <f>IF(C10="Verkauf", G10, K10)</f>
        <v/>
      </c>
      <c r="M10" s="5">
        <f>L10-K10-I10</f>
        <v/>
      </c>
      <c r="N10" s="5">
        <f>IF(F10&gt;0, IF((G10/F10)&gt;('1_Master_Dashboard'!B$2*1.2), "Top Deal 🚀", IF((G10/F10)&lt;'1_Master_Dashboard'!B$2, "Verlust ⚠️", "Standard")), "")</f>
        <v/>
      </c>
      <c r="O10" s="5">
        <f>IF('1_Master_Dashboard'!B$14&lt;0, "MINUS BESTAND ❌", "OK")</f>
        <v/>
      </c>
    </row>
    <row r="11">
      <c r="A11" t="n">
        <v>7</v>
      </c>
      <c r="B11" s="16" t="inlineStr"/>
      <c r="C11" s="16" t="inlineStr"/>
      <c r="D11" s="16" t="inlineStr"/>
      <c r="E11" s="16" t="inlineStr">
        <is>
          <t>Offen</t>
        </is>
      </c>
      <c r="F11" s="16" t="n">
        <v>0</v>
      </c>
      <c r="G11" s="16" t="n">
        <v>0</v>
      </c>
      <c r="H11" s="16" t="inlineStr">
        <is>
          <t>Bar</t>
        </is>
      </c>
      <c r="I11" s="16" t="n">
        <v>0</v>
      </c>
      <c r="J11" s="16" t="inlineStr">
        <is>
          <t>Fahrtkosten</t>
        </is>
      </c>
      <c r="K11" s="5">
        <f>F11*'1_Master_Dashboard'!B$2</f>
        <v/>
      </c>
      <c r="L11" s="5">
        <f>IF(C11="Verkauf", G11, K11)</f>
        <v/>
      </c>
      <c r="M11" s="5">
        <f>L11-K11-I11</f>
        <v/>
      </c>
      <c r="N11" s="5">
        <f>IF(F11&gt;0, IF((G11/F11)&gt;('1_Master_Dashboard'!B$2*1.2), "Top Deal 🚀", IF((G11/F11)&lt;'1_Master_Dashboard'!B$2, "Verlust ⚠️", "Standard")), "")</f>
        <v/>
      </c>
      <c r="O11" s="5">
        <f>IF('1_Master_Dashboard'!B$14&lt;0, "MINUS BESTAND ❌", "OK")</f>
        <v/>
      </c>
    </row>
    <row r="12">
      <c r="A12" t="n">
        <v>8</v>
      </c>
      <c r="B12" s="16" t="inlineStr"/>
      <c r="C12" s="16" t="inlineStr"/>
      <c r="D12" s="16" t="inlineStr"/>
      <c r="E12" s="16" t="inlineStr">
        <is>
          <t>Offen</t>
        </is>
      </c>
      <c r="F12" s="16" t="n">
        <v>0</v>
      </c>
      <c r="G12" s="16" t="n">
        <v>0</v>
      </c>
      <c r="H12" s="16" t="inlineStr">
        <is>
          <t>Bar</t>
        </is>
      </c>
      <c r="I12" s="16" t="n">
        <v>0</v>
      </c>
      <c r="J12" s="16" t="inlineStr">
        <is>
          <t>Fahrtkosten</t>
        </is>
      </c>
      <c r="K12" s="5">
        <f>F12*'1_Master_Dashboard'!B$2</f>
        <v/>
      </c>
      <c r="L12" s="5">
        <f>IF(C12="Verkauf", G12, K12)</f>
        <v/>
      </c>
      <c r="M12" s="5">
        <f>L12-K12-I12</f>
        <v/>
      </c>
      <c r="N12" s="5">
        <f>IF(F12&gt;0, IF((G12/F12)&gt;('1_Master_Dashboard'!B$2*1.2), "Top Deal 🚀", IF((G12/F12)&lt;'1_Master_Dashboard'!B$2, "Verlust ⚠️", "Standard")), "")</f>
        <v/>
      </c>
      <c r="O12" s="5">
        <f>IF('1_Master_Dashboard'!B$14&lt;0, "MINUS BESTAND ❌", "OK")</f>
        <v/>
      </c>
    </row>
    <row r="13">
      <c r="A13" t="n">
        <v>9</v>
      </c>
      <c r="B13" s="16" t="inlineStr"/>
      <c r="C13" s="16" t="inlineStr"/>
      <c r="D13" s="16" t="inlineStr"/>
      <c r="E13" s="16" t="inlineStr">
        <is>
          <t>Offen</t>
        </is>
      </c>
      <c r="F13" s="16" t="n">
        <v>0</v>
      </c>
      <c r="G13" s="16" t="n">
        <v>0</v>
      </c>
      <c r="H13" s="16" t="inlineStr">
        <is>
          <t>Bar</t>
        </is>
      </c>
      <c r="I13" s="16" t="n">
        <v>0</v>
      </c>
      <c r="J13" s="16" t="inlineStr">
        <is>
          <t>Fahrtkosten</t>
        </is>
      </c>
      <c r="K13" s="5">
        <f>F13*'1_Master_Dashboard'!B$2</f>
        <v/>
      </c>
      <c r="L13" s="5">
        <f>IF(C13="Verkauf", G13, K13)</f>
        <v/>
      </c>
      <c r="M13" s="5">
        <f>L13-K13-I13</f>
        <v/>
      </c>
      <c r="N13" s="5">
        <f>IF(F13&gt;0, IF((G13/F13)&gt;('1_Master_Dashboard'!B$2*1.2), "Top Deal 🚀", IF((G13/F13)&lt;'1_Master_Dashboard'!B$2, "Verlust ⚠️", "Standard")), "")</f>
        <v/>
      </c>
      <c r="O13" s="5">
        <f>IF('1_Master_Dashboard'!B$14&lt;0, "MINUS BESTAND ❌", "OK")</f>
        <v/>
      </c>
    </row>
    <row r="14">
      <c r="A14" t="n">
        <v>10</v>
      </c>
      <c r="B14" s="16" t="inlineStr"/>
      <c r="C14" s="16" t="inlineStr"/>
      <c r="D14" s="16" t="inlineStr"/>
      <c r="E14" s="16" t="inlineStr">
        <is>
          <t>Offen</t>
        </is>
      </c>
      <c r="F14" s="16" t="n">
        <v>0</v>
      </c>
      <c r="G14" s="16" t="n">
        <v>0</v>
      </c>
      <c r="H14" s="16" t="inlineStr">
        <is>
          <t>Bar</t>
        </is>
      </c>
      <c r="I14" s="16" t="n">
        <v>0</v>
      </c>
      <c r="J14" s="16" t="inlineStr">
        <is>
          <t>Fahrtkosten</t>
        </is>
      </c>
      <c r="K14" s="5">
        <f>F14*'1_Master_Dashboard'!B$2</f>
        <v/>
      </c>
      <c r="L14" s="5">
        <f>IF(C14="Verkauf", G14, K14)</f>
        <v/>
      </c>
      <c r="M14" s="5">
        <f>L14-K14-I14</f>
        <v/>
      </c>
      <c r="N14" s="5">
        <f>IF(F14&gt;0, IF((G14/F14)&gt;('1_Master_Dashboard'!B$2*1.2), "Top Deal 🚀", IF((G14/F14)&lt;'1_Master_Dashboard'!B$2, "Verlust ⚠️", "Standard")), "")</f>
        <v/>
      </c>
      <c r="O14" s="5">
        <f>IF('1_Master_Dashboard'!B$14&lt;0, "MINUS BESTAND ❌", "OK")</f>
        <v/>
      </c>
    </row>
    <row r="15">
      <c r="A15" t="n">
        <v>11</v>
      </c>
      <c r="B15" s="16" t="inlineStr"/>
      <c r="C15" s="16" t="inlineStr"/>
      <c r="D15" s="16" t="inlineStr"/>
      <c r="E15" s="16" t="inlineStr">
        <is>
          <t>Offen</t>
        </is>
      </c>
      <c r="F15" s="16" t="n">
        <v>0</v>
      </c>
      <c r="G15" s="16" t="n">
        <v>0</v>
      </c>
      <c r="H15" s="16" t="inlineStr">
        <is>
          <t>Bar</t>
        </is>
      </c>
      <c r="I15" s="16" t="n">
        <v>0</v>
      </c>
      <c r="J15" s="16" t="inlineStr">
        <is>
          <t>Fahrtkosten</t>
        </is>
      </c>
      <c r="K15" s="5">
        <f>F15*'1_Master_Dashboard'!B$2</f>
        <v/>
      </c>
      <c r="L15" s="5">
        <f>IF(C15="Verkauf", G15, K15)</f>
        <v/>
      </c>
      <c r="M15" s="5">
        <f>L15-K15-I15</f>
        <v/>
      </c>
      <c r="N15" s="5">
        <f>IF(F15&gt;0, IF((G15/F15)&gt;('1_Master_Dashboard'!B$2*1.2), "Top Deal 🚀", IF((G15/F15)&lt;'1_Master_Dashboard'!B$2, "Verlust ⚠️", "Standard")), "")</f>
        <v/>
      </c>
      <c r="O15" s="5">
        <f>IF('1_Master_Dashboard'!B$14&lt;0, "MINUS BESTAND ❌", "OK")</f>
        <v/>
      </c>
    </row>
    <row r="16">
      <c r="A16" t="n">
        <v>12</v>
      </c>
      <c r="B16" s="16" t="inlineStr"/>
      <c r="C16" s="16" t="inlineStr"/>
      <c r="D16" s="16" t="inlineStr"/>
      <c r="E16" s="16" t="inlineStr">
        <is>
          <t>Offen</t>
        </is>
      </c>
      <c r="F16" s="16" t="n">
        <v>0</v>
      </c>
      <c r="G16" s="16" t="n">
        <v>0</v>
      </c>
      <c r="H16" s="16" t="inlineStr">
        <is>
          <t>Bar</t>
        </is>
      </c>
      <c r="I16" s="16" t="n">
        <v>0</v>
      </c>
      <c r="J16" s="16" t="inlineStr">
        <is>
          <t>Fahrtkosten</t>
        </is>
      </c>
      <c r="K16" s="5">
        <f>F16*'1_Master_Dashboard'!B$2</f>
        <v/>
      </c>
      <c r="L16" s="5">
        <f>IF(C16="Verkauf", G16, K16)</f>
        <v/>
      </c>
      <c r="M16" s="5">
        <f>L16-K16-I16</f>
        <v/>
      </c>
      <c r="N16" s="5">
        <f>IF(F16&gt;0, IF((G16/F16)&gt;('1_Master_Dashboard'!B$2*1.2), "Top Deal 🚀", IF((G16/F16)&lt;'1_Master_Dashboard'!B$2, "Verlust ⚠️", "Standard")), "")</f>
        <v/>
      </c>
      <c r="O16" s="5">
        <f>IF('1_Master_Dashboard'!B$14&lt;0, "MINUS BESTAND ❌", "OK")</f>
        <v/>
      </c>
    </row>
    <row r="17">
      <c r="A17" t="n">
        <v>13</v>
      </c>
      <c r="B17" s="16" t="inlineStr"/>
      <c r="C17" s="16" t="inlineStr"/>
      <c r="D17" s="16" t="inlineStr"/>
      <c r="E17" s="16" t="inlineStr">
        <is>
          <t>Offen</t>
        </is>
      </c>
      <c r="F17" s="16" t="n">
        <v>0</v>
      </c>
      <c r="G17" s="16" t="n">
        <v>0</v>
      </c>
      <c r="H17" s="16" t="inlineStr">
        <is>
          <t>Bar</t>
        </is>
      </c>
      <c r="I17" s="16" t="n">
        <v>0</v>
      </c>
      <c r="J17" s="16" t="inlineStr">
        <is>
          <t>Fahrtkosten</t>
        </is>
      </c>
      <c r="K17" s="5">
        <f>F17*'1_Master_Dashboard'!B$2</f>
        <v/>
      </c>
      <c r="L17" s="5">
        <f>IF(C17="Verkauf", G17, K17)</f>
        <v/>
      </c>
      <c r="M17" s="5">
        <f>L17-K17-I17</f>
        <v/>
      </c>
      <c r="N17" s="5">
        <f>IF(F17&gt;0, IF((G17/F17)&gt;('1_Master_Dashboard'!B$2*1.2), "Top Deal 🚀", IF((G17/F17)&lt;'1_Master_Dashboard'!B$2, "Verlust ⚠️", "Standard")), "")</f>
        <v/>
      </c>
      <c r="O17" s="5">
        <f>IF('1_Master_Dashboard'!B$14&lt;0, "MINUS BESTAND ❌", "OK")</f>
        <v/>
      </c>
    </row>
    <row r="18">
      <c r="A18" t="n">
        <v>14</v>
      </c>
      <c r="B18" s="16" t="inlineStr"/>
      <c r="C18" s="16" t="inlineStr"/>
      <c r="D18" s="16" t="inlineStr"/>
      <c r="E18" s="16" t="inlineStr">
        <is>
          <t>Offen</t>
        </is>
      </c>
      <c r="F18" s="16" t="n">
        <v>0</v>
      </c>
      <c r="G18" s="16" t="n">
        <v>0</v>
      </c>
      <c r="H18" s="16" t="inlineStr">
        <is>
          <t>Bar</t>
        </is>
      </c>
      <c r="I18" s="16" t="n">
        <v>0</v>
      </c>
      <c r="J18" s="16" t="inlineStr">
        <is>
          <t>Fahrtkosten</t>
        </is>
      </c>
      <c r="K18" s="5">
        <f>F18*'1_Master_Dashboard'!B$2</f>
        <v/>
      </c>
      <c r="L18" s="5">
        <f>IF(C18="Verkauf", G18, K18)</f>
        <v/>
      </c>
      <c r="M18" s="5">
        <f>L18-K18-I18</f>
        <v/>
      </c>
      <c r="N18" s="5">
        <f>IF(F18&gt;0, IF((G18/F18)&gt;('1_Master_Dashboard'!B$2*1.2), "Top Deal 🚀", IF((G18/F18)&lt;'1_Master_Dashboard'!B$2, "Verlust ⚠️", "Standard")), "")</f>
        <v/>
      </c>
      <c r="O18" s="5">
        <f>IF('1_Master_Dashboard'!B$14&lt;0, "MINUS BESTAND ❌", "OK")</f>
        <v/>
      </c>
    </row>
    <row r="19">
      <c r="A19" t="n">
        <v>15</v>
      </c>
      <c r="B19" s="16" t="inlineStr"/>
      <c r="C19" s="16" t="inlineStr"/>
      <c r="D19" s="16" t="inlineStr"/>
      <c r="E19" s="16" t="inlineStr">
        <is>
          <t>Offen</t>
        </is>
      </c>
      <c r="F19" s="16" t="n">
        <v>0</v>
      </c>
      <c r="G19" s="16" t="n">
        <v>0</v>
      </c>
      <c r="H19" s="16" t="inlineStr">
        <is>
          <t>Bar</t>
        </is>
      </c>
      <c r="I19" s="16" t="n">
        <v>0</v>
      </c>
      <c r="J19" s="16" t="inlineStr">
        <is>
          <t>Fahrtkosten</t>
        </is>
      </c>
      <c r="K19" s="5">
        <f>F19*'1_Master_Dashboard'!B$2</f>
        <v/>
      </c>
      <c r="L19" s="5">
        <f>IF(C19="Verkauf", G19, K19)</f>
        <v/>
      </c>
      <c r="M19" s="5">
        <f>L19-K19-I19</f>
        <v/>
      </c>
      <c r="N19" s="5">
        <f>IF(F19&gt;0, IF((G19/F19)&gt;('1_Master_Dashboard'!B$2*1.2), "Top Deal 🚀", IF((G19/F19)&lt;'1_Master_Dashboard'!B$2, "Verlust ⚠️", "Standard")), "")</f>
        <v/>
      </c>
      <c r="O19" s="5">
        <f>IF('1_Master_Dashboard'!B$14&lt;0, "MINUS BESTAND ❌", "OK")</f>
        <v/>
      </c>
    </row>
    <row r="20">
      <c r="A20" t="n">
        <v>16</v>
      </c>
      <c r="B20" s="16" t="inlineStr"/>
      <c r="C20" s="16" t="inlineStr"/>
      <c r="D20" s="16" t="inlineStr"/>
      <c r="E20" s="16" t="inlineStr">
        <is>
          <t>Offen</t>
        </is>
      </c>
      <c r="F20" s="16" t="n">
        <v>0</v>
      </c>
      <c r="G20" s="16" t="n">
        <v>0</v>
      </c>
      <c r="H20" s="16" t="inlineStr">
        <is>
          <t>Bar</t>
        </is>
      </c>
      <c r="I20" s="16" t="n">
        <v>0</v>
      </c>
      <c r="J20" s="16" t="inlineStr">
        <is>
          <t>Fahrtkosten</t>
        </is>
      </c>
      <c r="K20" s="5">
        <f>F20*'1_Master_Dashboard'!B$2</f>
        <v/>
      </c>
      <c r="L20" s="5">
        <f>IF(C20="Verkauf", G20, K20)</f>
        <v/>
      </c>
      <c r="M20" s="5">
        <f>L20-K20-I20</f>
        <v/>
      </c>
      <c r="N20" s="5">
        <f>IF(F20&gt;0, IF((G20/F20)&gt;('1_Master_Dashboard'!B$2*1.2), "Top Deal 🚀", IF((G20/F20)&lt;'1_Master_Dashboard'!B$2, "Verlust ⚠️", "Standard")), "")</f>
        <v/>
      </c>
      <c r="O20" s="5">
        <f>IF('1_Master_Dashboard'!B$14&lt;0, "MINUS BESTAND ❌", "OK")</f>
        <v/>
      </c>
    </row>
    <row r="21">
      <c r="A21" t="n">
        <v>17</v>
      </c>
      <c r="B21" s="16" t="inlineStr"/>
      <c r="C21" s="16" t="inlineStr"/>
      <c r="D21" s="16" t="inlineStr"/>
      <c r="E21" s="16" t="inlineStr">
        <is>
          <t>Offen</t>
        </is>
      </c>
      <c r="F21" s="16" t="n">
        <v>0</v>
      </c>
      <c r="G21" s="16" t="n">
        <v>0</v>
      </c>
      <c r="H21" s="16" t="inlineStr">
        <is>
          <t>Bar</t>
        </is>
      </c>
      <c r="I21" s="16" t="n">
        <v>0</v>
      </c>
      <c r="J21" s="16" t="inlineStr">
        <is>
          <t>Fahrtkosten</t>
        </is>
      </c>
      <c r="K21" s="5">
        <f>F21*'1_Master_Dashboard'!B$2</f>
        <v/>
      </c>
      <c r="L21" s="5">
        <f>IF(C21="Verkauf", G21, K21)</f>
        <v/>
      </c>
      <c r="M21" s="5">
        <f>L21-K21-I21</f>
        <v/>
      </c>
      <c r="N21" s="5">
        <f>IF(F21&gt;0, IF((G21/F21)&gt;('1_Master_Dashboard'!B$2*1.2), "Top Deal 🚀", IF((G21/F21)&lt;'1_Master_Dashboard'!B$2, "Verlust ⚠️", "Standard")), "")</f>
        <v/>
      </c>
      <c r="O21" s="5">
        <f>IF('1_Master_Dashboard'!B$14&lt;0, "MINUS BESTAND ❌", "OK")</f>
        <v/>
      </c>
    </row>
    <row r="22">
      <c r="A22" t="n">
        <v>18</v>
      </c>
      <c r="B22" s="16" t="inlineStr"/>
      <c r="C22" s="16" t="inlineStr"/>
      <c r="D22" s="16" t="inlineStr"/>
      <c r="E22" s="16" t="inlineStr">
        <is>
          <t>Offen</t>
        </is>
      </c>
      <c r="F22" s="16" t="n">
        <v>0</v>
      </c>
      <c r="G22" s="16" t="n">
        <v>0</v>
      </c>
      <c r="H22" s="16" t="inlineStr">
        <is>
          <t>Bar</t>
        </is>
      </c>
      <c r="I22" s="16" t="n">
        <v>0</v>
      </c>
      <c r="J22" s="16" t="inlineStr">
        <is>
          <t>Fahrtkosten</t>
        </is>
      </c>
      <c r="K22" s="5">
        <f>F22*'1_Master_Dashboard'!B$2</f>
        <v/>
      </c>
      <c r="L22" s="5">
        <f>IF(C22="Verkauf", G22, K22)</f>
        <v/>
      </c>
      <c r="M22" s="5">
        <f>L22-K22-I22</f>
        <v/>
      </c>
      <c r="N22" s="5">
        <f>IF(F22&gt;0, IF((G22/F22)&gt;('1_Master_Dashboard'!B$2*1.2), "Top Deal 🚀", IF((G22/F22)&lt;'1_Master_Dashboard'!B$2, "Verlust ⚠️", "Standard")), "")</f>
        <v/>
      </c>
      <c r="O22" s="5">
        <f>IF('1_Master_Dashboard'!B$14&lt;0, "MINUS BESTAND ❌", "OK")</f>
        <v/>
      </c>
    </row>
    <row r="23">
      <c r="A23" t="n">
        <v>19</v>
      </c>
      <c r="B23" s="16" t="inlineStr"/>
      <c r="C23" s="16" t="inlineStr"/>
      <c r="D23" s="16" t="inlineStr"/>
      <c r="E23" s="16" t="inlineStr">
        <is>
          <t>Offen</t>
        </is>
      </c>
      <c r="F23" s="16" t="n">
        <v>0</v>
      </c>
      <c r="G23" s="16" t="n">
        <v>0</v>
      </c>
      <c r="H23" s="16" t="inlineStr">
        <is>
          <t>Bar</t>
        </is>
      </c>
      <c r="I23" s="16" t="n">
        <v>0</v>
      </c>
      <c r="J23" s="16" t="inlineStr">
        <is>
          <t>Fahrtkosten</t>
        </is>
      </c>
      <c r="K23" s="5">
        <f>F23*'1_Master_Dashboard'!B$2</f>
        <v/>
      </c>
      <c r="L23" s="5">
        <f>IF(C23="Verkauf", G23, K23)</f>
        <v/>
      </c>
      <c r="M23" s="5">
        <f>L23-K23-I23</f>
        <v/>
      </c>
      <c r="N23" s="5">
        <f>IF(F23&gt;0, IF((G23/F23)&gt;('1_Master_Dashboard'!B$2*1.2), "Top Deal 🚀", IF((G23/F23)&lt;'1_Master_Dashboard'!B$2, "Verlust ⚠️", "Standard")), "")</f>
        <v/>
      </c>
      <c r="O23" s="5">
        <f>IF('1_Master_Dashboard'!B$14&lt;0, "MINUS BESTAND ❌", "OK")</f>
        <v/>
      </c>
    </row>
    <row r="24">
      <c r="A24" t="n">
        <v>20</v>
      </c>
      <c r="B24" s="16" t="inlineStr"/>
      <c r="C24" s="16" t="inlineStr"/>
      <c r="D24" s="16" t="inlineStr"/>
      <c r="E24" s="16" t="inlineStr">
        <is>
          <t>Offen</t>
        </is>
      </c>
      <c r="F24" s="16" t="n">
        <v>0</v>
      </c>
      <c r="G24" s="16" t="n">
        <v>0</v>
      </c>
      <c r="H24" s="16" t="inlineStr">
        <is>
          <t>Bar</t>
        </is>
      </c>
      <c r="I24" s="16" t="n">
        <v>0</v>
      </c>
      <c r="J24" s="16" t="inlineStr">
        <is>
          <t>Fahrtkosten</t>
        </is>
      </c>
      <c r="K24" s="5">
        <f>F24*'1_Master_Dashboard'!B$2</f>
        <v/>
      </c>
      <c r="L24" s="5">
        <f>IF(C24="Verkauf", G24, K24)</f>
        <v/>
      </c>
      <c r="M24" s="5">
        <f>L24-K24-I24</f>
        <v/>
      </c>
      <c r="N24" s="5">
        <f>IF(F24&gt;0, IF((G24/F24)&gt;('1_Master_Dashboard'!B$2*1.2), "Top Deal 🚀", IF((G24/F24)&lt;'1_Master_Dashboard'!B$2, "Verlust ⚠️", "Standard")), "")</f>
        <v/>
      </c>
      <c r="O24" s="5">
        <f>IF('1_Master_Dashboard'!B$14&lt;0, "MINUS BESTAND ❌", "OK")</f>
        <v/>
      </c>
    </row>
    <row r="25">
      <c r="A25" t="n">
        <v>21</v>
      </c>
      <c r="B25" s="16" t="inlineStr"/>
      <c r="C25" s="16" t="inlineStr"/>
      <c r="D25" s="16" t="inlineStr"/>
      <c r="E25" s="16" t="inlineStr">
        <is>
          <t>Offen</t>
        </is>
      </c>
      <c r="F25" s="16" t="n">
        <v>0</v>
      </c>
      <c r="G25" s="16" t="n">
        <v>0</v>
      </c>
      <c r="H25" s="16" t="inlineStr">
        <is>
          <t>Bar</t>
        </is>
      </c>
      <c r="I25" s="16" t="n">
        <v>0</v>
      </c>
      <c r="J25" s="16" t="inlineStr">
        <is>
          <t>Fahrtkosten</t>
        </is>
      </c>
      <c r="K25" s="5">
        <f>F25*'1_Master_Dashboard'!B$2</f>
        <v/>
      </c>
      <c r="L25" s="5">
        <f>IF(C25="Verkauf", G25, K25)</f>
        <v/>
      </c>
      <c r="M25" s="5">
        <f>L25-K25-I25</f>
        <v/>
      </c>
      <c r="N25" s="5">
        <f>IF(F25&gt;0, IF((G25/F25)&gt;('1_Master_Dashboard'!B$2*1.2), "Top Deal 🚀", IF((G25/F25)&lt;'1_Master_Dashboard'!B$2, "Verlust ⚠️", "Standard")), "")</f>
        <v/>
      </c>
      <c r="O25" s="5">
        <f>IF('1_Master_Dashboard'!B$14&lt;0, "MINUS BESTAND ❌", "OK")</f>
        <v/>
      </c>
    </row>
    <row r="26">
      <c r="A26" t="n">
        <v>22</v>
      </c>
      <c r="B26" s="16" t="inlineStr"/>
      <c r="C26" s="16" t="inlineStr"/>
      <c r="D26" s="16" t="inlineStr"/>
      <c r="E26" s="16" t="inlineStr">
        <is>
          <t>Offen</t>
        </is>
      </c>
      <c r="F26" s="16" t="n">
        <v>0</v>
      </c>
      <c r="G26" s="16" t="n">
        <v>0</v>
      </c>
      <c r="H26" s="16" t="inlineStr">
        <is>
          <t>Bar</t>
        </is>
      </c>
      <c r="I26" s="16" t="n">
        <v>0</v>
      </c>
      <c r="J26" s="16" t="inlineStr">
        <is>
          <t>Fahrtkosten</t>
        </is>
      </c>
      <c r="K26" s="5">
        <f>F26*'1_Master_Dashboard'!B$2</f>
        <v/>
      </c>
      <c r="L26" s="5">
        <f>IF(C26="Verkauf", G26, K26)</f>
        <v/>
      </c>
      <c r="M26" s="5">
        <f>L26-K26-I26</f>
        <v/>
      </c>
      <c r="N26" s="5">
        <f>IF(F26&gt;0, IF((G26/F26)&gt;('1_Master_Dashboard'!B$2*1.2), "Top Deal 🚀", IF((G26/F26)&lt;'1_Master_Dashboard'!B$2, "Verlust ⚠️", "Standard")), "")</f>
        <v/>
      </c>
      <c r="O26" s="5">
        <f>IF('1_Master_Dashboard'!B$14&lt;0, "MINUS BESTAND ❌", "OK")</f>
        <v/>
      </c>
    </row>
    <row r="27">
      <c r="A27" t="n">
        <v>23</v>
      </c>
      <c r="B27" s="16" t="inlineStr"/>
      <c r="C27" s="16" t="inlineStr"/>
      <c r="D27" s="16" t="inlineStr"/>
      <c r="E27" s="16" t="inlineStr">
        <is>
          <t>Offen</t>
        </is>
      </c>
      <c r="F27" s="16" t="n">
        <v>0</v>
      </c>
      <c r="G27" s="16" t="n">
        <v>0</v>
      </c>
      <c r="H27" s="16" t="inlineStr">
        <is>
          <t>Bar</t>
        </is>
      </c>
      <c r="I27" s="16" t="n">
        <v>0</v>
      </c>
      <c r="J27" s="16" t="inlineStr">
        <is>
          <t>Fahrtkosten</t>
        </is>
      </c>
      <c r="K27" s="5">
        <f>F27*'1_Master_Dashboard'!B$2</f>
        <v/>
      </c>
      <c r="L27" s="5">
        <f>IF(C27="Verkauf", G27, K27)</f>
        <v/>
      </c>
      <c r="M27" s="5">
        <f>L27-K27-I27</f>
        <v/>
      </c>
      <c r="N27" s="5">
        <f>IF(F27&gt;0, IF((G27/F27)&gt;('1_Master_Dashboard'!B$2*1.2), "Top Deal 🚀", IF((G27/F27)&lt;'1_Master_Dashboard'!B$2, "Verlust ⚠️", "Standard")), "")</f>
        <v/>
      </c>
      <c r="O27" s="5">
        <f>IF('1_Master_Dashboard'!B$14&lt;0, "MINUS BESTAND ❌", "OK")</f>
        <v/>
      </c>
    </row>
    <row r="28">
      <c r="A28" t="n">
        <v>24</v>
      </c>
      <c r="B28" s="16" t="inlineStr"/>
      <c r="C28" s="16" t="inlineStr"/>
      <c r="D28" s="16" t="inlineStr"/>
      <c r="E28" s="16" t="inlineStr">
        <is>
          <t>Offen</t>
        </is>
      </c>
      <c r="F28" s="16" t="n">
        <v>0</v>
      </c>
      <c r="G28" s="16" t="n">
        <v>0</v>
      </c>
      <c r="H28" s="16" t="inlineStr">
        <is>
          <t>Bar</t>
        </is>
      </c>
      <c r="I28" s="16" t="n">
        <v>0</v>
      </c>
      <c r="J28" s="16" t="inlineStr">
        <is>
          <t>Fahrtkosten</t>
        </is>
      </c>
      <c r="K28" s="5">
        <f>F28*'1_Master_Dashboard'!B$2</f>
        <v/>
      </c>
      <c r="L28" s="5">
        <f>IF(C28="Verkauf", G28, K28)</f>
        <v/>
      </c>
      <c r="M28" s="5">
        <f>L28-K28-I28</f>
        <v/>
      </c>
      <c r="N28" s="5">
        <f>IF(F28&gt;0, IF((G28/F28)&gt;('1_Master_Dashboard'!B$2*1.2), "Top Deal 🚀", IF((G28/F28)&lt;'1_Master_Dashboard'!B$2, "Verlust ⚠️", "Standard")), "")</f>
        <v/>
      </c>
      <c r="O28" s="5">
        <f>IF('1_Master_Dashboard'!B$14&lt;0, "MINUS BESTAND ❌", "OK")</f>
        <v/>
      </c>
    </row>
    <row r="29">
      <c r="A29" t="n">
        <v>25</v>
      </c>
      <c r="B29" s="16" t="inlineStr"/>
      <c r="C29" s="16" t="inlineStr"/>
      <c r="D29" s="16" t="inlineStr"/>
      <c r="E29" s="16" t="inlineStr">
        <is>
          <t>Offen</t>
        </is>
      </c>
      <c r="F29" s="16" t="n">
        <v>0</v>
      </c>
      <c r="G29" s="16" t="n">
        <v>0</v>
      </c>
      <c r="H29" s="16" t="inlineStr">
        <is>
          <t>Bar</t>
        </is>
      </c>
      <c r="I29" s="16" t="n">
        <v>0</v>
      </c>
      <c r="J29" s="16" t="inlineStr">
        <is>
          <t>Fahrtkosten</t>
        </is>
      </c>
      <c r="K29" s="5">
        <f>F29*'1_Master_Dashboard'!B$2</f>
        <v/>
      </c>
      <c r="L29" s="5">
        <f>IF(C29="Verkauf", G29, K29)</f>
        <v/>
      </c>
      <c r="M29" s="5">
        <f>L29-K29-I29</f>
        <v/>
      </c>
      <c r="N29" s="5">
        <f>IF(F29&gt;0, IF((G29/F29)&gt;('1_Master_Dashboard'!B$2*1.2), "Top Deal 🚀", IF((G29/F29)&lt;'1_Master_Dashboard'!B$2, "Verlust ⚠️", "Standard")), "")</f>
        <v/>
      </c>
      <c r="O29" s="5">
        <f>IF('1_Master_Dashboard'!B$14&lt;0, "MINUS BESTAND ❌", "OK")</f>
        <v/>
      </c>
    </row>
    <row r="30">
      <c r="A30" t="n">
        <v>26</v>
      </c>
      <c r="B30" s="16" t="inlineStr"/>
      <c r="C30" s="16" t="inlineStr"/>
      <c r="D30" s="16" t="inlineStr"/>
      <c r="E30" s="16" t="inlineStr">
        <is>
          <t>Offen</t>
        </is>
      </c>
      <c r="F30" s="16" t="n">
        <v>0</v>
      </c>
      <c r="G30" s="16" t="n">
        <v>0</v>
      </c>
      <c r="H30" s="16" t="inlineStr">
        <is>
          <t>Bar</t>
        </is>
      </c>
      <c r="I30" s="16" t="n">
        <v>0</v>
      </c>
      <c r="J30" s="16" t="inlineStr">
        <is>
          <t>Fahrtkosten</t>
        </is>
      </c>
      <c r="K30" s="5">
        <f>F30*'1_Master_Dashboard'!B$2</f>
        <v/>
      </c>
      <c r="L30" s="5">
        <f>IF(C30="Verkauf", G30, K30)</f>
        <v/>
      </c>
      <c r="M30" s="5">
        <f>L30-K30-I30</f>
        <v/>
      </c>
      <c r="N30" s="5">
        <f>IF(F30&gt;0, IF((G30/F30)&gt;('1_Master_Dashboard'!B$2*1.2), "Top Deal 🚀", IF((G30/F30)&lt;'1_Master_Dashboard'!B$2, "Verlust ⚠️", "Standard")), "")</f>
        <v/>
      </c>
      <c r="O30" s="5">
        <f>IF('1_Master_Dashboard'!B$14&lt;0, "MINUS BESTAND ❌", "OK")</f>
        <v/>
      </c>
    </row>
    <row r="31">
      <c r="A31" t="n">
        <v>27</v>
      </c>
      <c r="B31" s="16" t="inlineStr"/>
      <c r="C31" s="16" t="inlineStr"/>
      <c r="D31" s="16" t="inlineStr"/>
      <c r="E31" s="16" t="inlineStr">
        <is>
          <t>Offen</t>
        </is>
      </c>
      <c r="F31" s="16" t="n">
        <v>0</v>
      </c>
      <c r="G31" s="16" t="n">
        <v>0</v>
      </c>
      <c r="H31" s="16" t="inlineStr">
        <is>
          <t>Bar</t>
        </is>
      </c>
      <c r="I31" s="16" t="n">
        <v>0</v>
      </c>
      <c r="J31" s="16" t="inlineStr">
        <is>
          <t>Fahrtkosten</t>
        </is>
      </c>
      <c r="K31" s="5">
        <f>F31*'1_Master_Dashboard'!B$2</f>
        <v/>
      </c>
      <c r="L31" s="5">
        <f>IF(C31="Verkauf", G31, K31)</f>
        <v/>
      </c>
      <c r="M31" s="5">
        <f>L31-K31-I31</f>
        <v/>
      </c>
      <c r="N31" s="5">
        <f>IF(F31&gt;0, IF((G31/F31)&gt;('1_Master_Dashboard'!B$2*1.2), "Top Deal 🚀", IF((G31/F31)&lt;'1_Master_Dashboard'!B$2, "Verlust ⚠️", "Standard")), "")</f>
        <v/>
      </c>
      <c r="O31" s="5">
        <f>IF('1_Master_Dashboard'!B$14&lt;0, "MINUS BESTAND ❌", "OK")</f>
        <v/>
      </c>
    </row>
    <row r="32">
      <c r="A32" t="n">
        <v>28</v>
      </c>
      <c r="B32" s="16" t="inlineStr"/>
      <c r="C32" s="16" t="inlineStr"/>
      <c r="D32" s="16" t="inlineStr"/>
      <c r="E32" s="16" t="inlineStr">
        <is>
          <t>Offen</t>
        </is>
      </c>
      <c r="F32" s="16" t="n">
        <v>0</v>
      </c>
      <c r="G32" s="16" t="n">
        <v>0</v>
      </c>
      <c r="H32" s="16" t="inlineStr">
        <is>
          <t>Bar</t>
        </is>
      </c>
      <c r="I32" s="16" t="n">
        <v>0</v>
      </c>
      <c r="J32" s="16" t="inlineStr">
        <is>
          <t>Fahrtkosten</t>
        </is>
      </c>
      <c r="K32" s="5">
        <f>F32*'1_Master_Dashboard'!B$2</f>
        <v/>
      </c>
      <c r="L32" s="5">
        <f>IF(C32="Verkauf", G32, K32)</f>
        <v/>
      </c>
      <c r="M32" s="5">
        <f>L32-K32-I32</f>
        <v/>
      </c>
      <c r="N32" s="5">
        <f>IF(F32&gt;0, IF((G32/F32)&gt;('1_Master_Dashboard'!B$2*1.2), "Top Deal 🚀", IF((G32/F32)&lt;'1_Master_Dashboard'!B$2, "Verlust ⚠️", "Standard")), "")</f>
        <v/>
      </c>
      <c r="O32" s="5">
        <f>IF('1_Master_Dashboard'!B$14&lt;0, "MINUS BESTAND ❌", "OK")</f>
        <v/>
      </c>
    </row>
    <row r="33">
      <c r="A33" t="n">
        <v>29</v>
      </c>
      <c r="B33" s="16" t="inlineStr"/>
      <c r="C33" s="16" t="inlineStr"/>
      <c r="D33" s="16" t="inlineStr"/>
      <c r="E33" s="16" t="inlineStr">
        <is>
          <t>Offen</t>
        </is>
      </c>
      <c r="F33" s="16" t="n">
        <v>0</v>
      </c>
      <c r="G33" s="16" t="n">
        <v>0</v>
      </c>
      <c r="H33" s="16" t="inlineStr">
        <is>
          <t>Bar</t>
        </is>
      </c>
      <c r="I33" s="16" t="n">
        <v>0</v>
      </c>
      <c r="J33" s="16" t="inlineStr">
        <is>
          <t>Fahrtkosten</t>
        </is>
      </c>
      <c r="K33" s="5">
        <f>F33*'1_Master_Dashboard'!B$2</f>
        <v/>
      </c>
      <c r="L33" s="5">
        <f>IF(C33="Verkauf", G33, K33)</f>
        <v/>
      </c>
      <c r="M33" s="5">
        <f>L33-K33-I33</f>
        <v/>
      </c>
      <c r="N33" s="5">
        <f>IF(F33&gt;0, IF((G33/F33)&gt;('1_Master_Dashboard'!B$2*1.2), "Top Deal 🚀", IF((G33/F33)&lt;'1_Master_Dashboard'!B$2, "Verlust ⚠️", "Standard")), "")</f>
        <v/>
      </c>
      <c r="O33" s="5">
        <f>IF('1_Master_Dashboard'!B$14&lt;0, "MINUS BESTAND ❌", "OK")</f>
        <v/>
      </c>
    </row>
    <row r="34">
      <c r="A34" t="n">
        <v>30</v>
      </c>
      <c r="B34" s="16" t="inlineStr"/>
      <c r="C34" s="16" t="inlineStr"/>
      <c r="D34" s="16" t="inlineStr"/>
      <c r="E34" s="16" t="inlineStr">
        <is>
          <t>Offen</t>
        </is>
      </c>
      <c r="F34" s="16" t="n">
        <v>0</v>
      </c>
      <c r="G34" s="16" t="n">
        <v>0</v>
      </c>
      <c r="H34" s="16" t="inlineStr">
        <is>
          <t>Bar</t>
        </is>
      </c>
      <c r="I34" s="16" t="n">
        <v>0</v>
      </c>
      <c r="J34" s="16" t="inlineStr">
        <is>
          <t>Fahrtkosten</t>
        </is>
      </c>
      <c r="K34" s="5">
        <f>F34*'1_Master_Dashboard'!B$2</f>
        <v/>
      </c>
      <c r="L34" s="5">
        <f>IF(C34="Verkauf", G34, K34)</f>
        <v/>
      </c>
      <c r="M34" s="5">
        <f>L34-K34-I34</f>
        <v/>
      </c>
      <c r="N34" s="5">
        <f>IF(F34&gt;0, IF((G34/F34)&gt;('1_Master_Dashboard'!B$2*1.2), "Top Deal 🚀", IF((G34/F34)&lt;'1_Master_Dashboard'!B$2, "Verlust ⚠️", "Standard")), "")</f>
        <v/>
      </c>
      <c r="O34" s="5">
        <f>IF('1_Master_Dashboard'!B$14&lt;0, "MINUS BESTAND ❌", "OK")</f>
        <v/>
      </c>
    </row>
    <row r="35">
      <c r="A35" t="n">
        <v>31</v>
      </c>
      <c r="B35" s="16" t="inlineStr"/>
      <c r="C35" s="16" t="inlineStr"/>
      <c r="D35" s="16" t="inlineStr"/>
      <c r="E35" s="16" t="inlineStr">
        <is>
          <t>Offen</t>
        </is>
      </c>
      <c r="F35" s="16" t="n">
        <v>0</v>
      </c>
      <c r="G35" s="16" t="n">
        <v>0</v>
      </c>
      <c r="H35" s="16" t="inlineStr">
        <is>
          <t>Bar</t>
        </is>
      </c>
      <c r="I35" s="16" t="n">
        <v>0</v>
      </c>
      <c r="J35" s="16" t="inlineStr">
        <is>
          <t>Fahrtkosten</t>
        </is>
      </c>
      <c r="K35" s="5">
        <f>F35*'1_Master_Dashboard'!B$2</f>
        <v/>
      </c>
      <c r="L35" s="5">
        <f>IF(C35="Verkauf", G35, K35)</f>
        <v/>
      </c>
      <c r="M35" s="5">
        <f>L35-K35-I35</f>
        <v/>
      </c>
      <c r="N35" s="5">
        <f>IF(F35&gt;0, IF((G35/F35)&gt;('1_Master_Dashboard'!B$2*1.2), "Top Deal 🚀", IF((G35/F35)&lt;'1_Master_Dashboard'!B$2, "Verlust ⚠️", "Standard")), "")</f>
        <v/>
      </c>
      <c r="O35" s="5">
        <f>IF('1_Master_Dashboard'!B$14&lt;0, "MINUS BESTAND ❌", "OK")</f>
        <v/>
      </c>
    </row>
    <row r="36">
      <c r="A36" t="n">
        <v>32</v>
      </c>
      <c r="B36" s="16" t="inlineStr"/>
      <c r="C36" s="16" t="inlineStr"/>
      <c r="D36" s="16" t="inlineStr"/>
      <c r="E36" s="16" t="inlineStr">
        <is>
          <t>Offen</t>
        </is>
      </c>
      <c r="F36" s="16" t="n">
        <v>0</v>
      </c>
      <c r="G36" s="16" t="n">
        <v>0</v>
      </c>
      <c r="H36" s="16" t="inlineStr">
        <is>
          <t>Bar</t>
        </is>
      </c>
      <c r="I36" s="16" t="n">
        <v>0</v>
      </c>
      <c r="J36" s="16" t="inlineStr">
        <is>
          <t>Fahrtkosten</t>
        </is>
      </c>
      <c r="K36" s="5">
        <f>F36*'1_Master_Dashboard'!B$2</f>
        <v/>
      </c>
      <c r="L36" s="5">
        <f>IF(C36="Verkauf", G36, K36)</f>
        <v/>
      </c>
      <c r="M36" s="5">
        <f>L36-K36-I36</f>
        <v/>
      </c>
      <c r="N36" s="5">
        <f>IF(F36&gt;0, IF((G36/F36)&gt;('1_Master_Dashboard'!B$2*1.2), "Top Deal 🚀", IF((G36/F36)&lt;'1_Master_Dashboard'!B$2, "Verlust ⚠️", "Standard")), "")</f>
        <v/>
      </c>
      <c r="O36" s="5">
        <f>IF('1_Master_Dashboard'!B$14&lt;0, "MINUS BESTAND ❌", "OK")</f>
        <v/>
      </c>
    </row>
    <row r="37">
      <c r="A37" t="n">
        <v>33</v>
      </c>
      <c r="B37" s="16" t="inlineStr"/>
      <c r="C37" s="16" t="inlineStr"/>
      <c r="D37" s="16" t="inlineStr"/>
      <c r="E37" s="16" t="inlineStr">
        <is>
          <t>Offen</t>
        </is>
      </c>
      <c r="F37" s="16" t="n">
        <v>0</v>
      </c>
      <c r="G37" s="16" t="n">
        <v>0</v>
      </c>
      <c r="H37" s="16" t="inlineStr">
        <is>
          <t>Bar</t>
        </is>
      </c>
      <c r="I37" s="16" t="n">
        <v>0</v>
      </c>
      <c r="J37" s="16" t="inlineStr">
        <is>
          <t>Fahrtkosten</t>
        </is>
      </c>
      <c r="K37" s="5">
        <f>F37*'1_Master_Dashboard'!B$2</f>
        <v/>
      </c>
      <c r="L37" s="5">
        <f>IF(C37="Verkauf", G37, K37)</f>
        <v/>
      </c>
      <c r="M37" s="5">
        <f>L37-K37-I37</f>
        <v/>
      </c>
      <c r="N37" s="5">
        <f>IF(F37&gt;0, IF((G37/F37)&gt;('1_Master_Dashboard'!B$2*1.2), "Top Deal 🚀", IF((G37/F37)&lt;'1_Master_Dashboard'!B$2, "Verlust ⚠️", "Standard")), "")</f>
        <v/>
      </c>
      <c r="O37" s="5">
        <f>IF('1_Master_Dashboard'!B$14&lt;0, "MINUS BESTAND ❌", "OK")</f>
        <v/>
      </c>
    </row>
    <row r="38">
      <c r="A38" t="n">
        <v>34</v>
      </c>
      <c r="B38" s="16" t="inlineStr"/>
      <c r="C38" s="16" t="inlineStr"/>
      <c r="D38" s="16" t="inlineStr"/>
      <c r="E38" s="16" t="inlineStr">
        <is>
          <t>Offen</t>
        </is>
      </c>
      <c r="F38" s="16" t="n">
        <v>0</v>
      </c>
      <c r="G38" s="16" t="n">
        <v>0</v>
      </c>
      <c r="H38" s="16" t="inlineStr">
        <is>
          <t>Bar</t>
        </is>
      </c>
      <c r="I38" s="16" t="n">
        <v>0</v>
      </c>
      <c r="J38" s="16" t="inlineStr">
        <is>
          <t>Fahrtkosten</t>
        </is>
      </c>
      <c r="K38" s="5">
        <f>F38*'1_Master_Dashboard'!B$2</f>
        <v/>
      </c>
      <c r="L38" s="5">
        <f>IF(C38="Verkauf", G38, K38)</f>
        <v/>
      </c>
      <c r="M38" s="5">
        <f>L38-K38-I38</f>
        <v/>
      </c>
      <c r="N38" s="5">
        <f>IF(F38&gt;0, IF((G38/F38)&gt;('1_Master_Dashboard'!B$2*1.2), "Top Deal 🚀", IF((G38/F38)&lt;'1_Master_Dashboard'!B$2, "Verlust ⚠️", "Standard")), "")</f>
        <v/>
      </c>
      <c r="O38" s="5">
        <f>IF('1_Master_Dashboard'!B$14&lt;0, "MINUS BESTAND ❌", "OK")</f>
        <v/>
      </c>
    </row>
    <row r="39">
      <c r="A39" t="n">
        <v>35</v>
      </c>
      <c r="B39" s="16" t="inlineStr"/>
      <c r="C39" s="16" t="inlineStr"/>
      <c r="D39" s="16" t="inlineStr"/>
      <c r="E39" s="16" t="inlineStr">
        <is>
          <t>Offen</t>
        </is>
      </c>
      <c r="F39" s="16" t="n">
        <v>0</v>
      </c>
      <c r="G39" s="16" t="n">
        <v>0</v>
      </c>
      <c r="H39" s="16" t="inlineStr">
        <is>
          <t>Bar</t>
        </is>
      </c>
      <c r="I39" s="16" t="n">
        <v>0</v>
      </c>
      <c r="J39" s="16" t="inlineStr">
        <is>
          <t>Fahrtkosten</t>
        </is>
      </c>
      <c r="K39" s="5">
        <f>F39*'1_Master_Dashboard'!B$2</f>
        <v/>
      </c>
      <c r="L39" s="5">
        <f>IF(C39="Verkauf", G39, K39)</f>
        <v/>
      </c>
      <c r="M39" s="5">
        <f>L39-K39-I39</f>
        <v/>
      </c>
      <c r="N39" s="5">
        <f>IF(F39&gt;0, IF((G39/F39)&gt;('1_Master_Dashboard'!B$2*1.2), "Top Deal 🚀", IF((G39/F39)&lt;'1_Master_Dashboard'!B$2, "Verlust ⚠️", "Standard")), "")</f>
        <v/>
      </c>
      <c r="O39" s="5">
        <f>IF('1_Master_Dashboard'!B$14&lt;0, "MINUS BESTAND ❌", "OK")</f>
        <v/>
      </c>
    </row>
    <row r="40">
      <c r="A40" t="n">
        <v>36</v>
      </c>
      <c r="B40" s="16" t="inlineStr"/>
      <c r="C40" s="16" t="inlineStr"/>
      <c r="D40" s="16" t="inlineStr"/>
      <c r="E40" s="16" t="inlineStr">
        <is>
          <t>Offen</t>
        </is>
      </c>
      <c r="F40" s="16" t="n">
        <v>0</v>
      </c>
      <c r="G40" s="16" t="n">
        <v>0</v>
      </c>
      <c r="H40" s="16" t="inlineStr">
        <is>
          <t>Bar</t>
        </is>
      </c>
      <c r="I40" s="16" t="n">
        <v>0</v>
      </c>
      <c r="J40" s="16" t="inlineStr">
        <is>
          <t>Fahrtkosten</t>
        </is>
      </c>
      <c r="K40" s="5">
        <f>F40*'1_Master_Dashboard'!B$2</f>
        <v/>
      </c>
      <c r="L40" s="5">
        <f>IF(C40="Verkauf", G40, K40)</f>
        <v/>
      </c>
      <c r="M40" s="5">
        <f>L40-K40-I40</f>
        <v/>
      </c>
      <c r="N40" s="5">
        <f>IF(F40&gt;0, IF((G40/F40)&gt;('1_Master_Dashboard'!B$2*1.2), "Top Deal 🚀", IF((G40/F40)&lt;'1_Master_Dashboard'!B$2, "Verlust ⚠️", "Standard")), "")</f>
        <v/>
      </c>
      <c r="O40" s="5">
        <f>IF('1_Master_Dashboard'!B$14&lt;0, "MINUS BESTAND ❌", "OK")</f>
        <v/>
      </c>
    </row>
    <row r="41">
      <c r="A41" t="n">
        <v>37</v>
      </c>
      <c r="B41" s="16" t="inlineStr"/>
      <c r="C41" s="16" t="inlineStr"/>
      <c r="D41" s="16" t="inlineStr"/>
      <c r="E41" s="16" t="inlineStr">
        <is>
          <t>Offen</t>
        </is>
      </c>
      <c r="F41" s="16" t="n">
        <v>0</v>
      </c>
      <c r="G41" s="16" t="n">
        <v>0</v>
      </c>
      <c r="H41" s="16" t="inlineStr">
        <is>
          <t>Bar</t>
        </is>
      </c>
      <c r="I41" s="16" t="n">
        <v>0</v>
      </c>
      <c r="J41" s="16" t="inlineStr">
        <is>
          <t>Fahrtkosten</t>
        </is>
      </c>
      <c r="K41" s="5">
        <f>F41*'1_Master_Dashboard'!B$2</f>
        <v/>
      </c>
      <c r="L41" s="5">
        <f>IF(C41="Verkauf", G41, K41)</f>
        <v/>
      </c>
      <c r="M41" s="5">
        <f>L41-K41-I41</f>
        <v/>
      </c>
      <c r="N41" s="5">
        <f>IF(F41&gt;0, IF((G41/F41)&gt;('1_Master_Dashboard'!B$2*1.2), "Top Deal 🚀", IF((G41/F41)&lt;'1_Master_Dashboard'!B$2, "Verlust ⚠️", "Standard")), "")</f>
        <v/>
      </c>
      <c r="O41" s="5">
        <f>IF('1_Master_Dashboard'!B$14&lt;0, "MINUS BESTAND ❌", "OK")</f>
        <v/>
      </c>
    </row>
    <row r="42">
      <c r="A42" t="n">
        <v>38</v>
      </c>
      <c r="B42" s="16" t="inlineStr"/>
      <c r="C42" s="16" t="inlineStr"/>
      <c r="D42" s="16" t="inlineStr"/>
      <c r="E42" s="16" t="inlineStr">
        <is>
          <t>Offen</t>
        </is>
      </c>
      <c r="F42" s="16" t="n">
        <v>0</v>
      </c>
      <c r="G42" s="16" t="n">
        <v>0</v>
      </c>
      <c r="H42" s="16" t="inlineStr">
        <is>
          <t>Bar</t>
        </is>
      </c>
      <c r="I42" s="16" t="n">
        <v>0</v>
      </c>
      <c r="J42" s="16" t="inlineStr">
        <is>
          <t>Fahrtkosten</t>
        </is>
      </c>
      <c r="K42" s="5">
        <f>F42*'1_Master_Dashboard'!B$2</f>
        <v/>
      </c>
      <c r="L42" s="5">
        <f>IF(C42="Verkauf", G42, K42)</f>
        <v/>
      </c>
      <c r="M42" s="5">
        <f>L42-K42-I42</f>
        <v/>
      </c>
      <c r="N42" s="5">
        <f>IF(F42&gt;0, IF((G42/F42)&gt;('1_Master_Dashboard'!B$2*1.2), "Top Deal 🚀", IF((G42/F42)&lt;'1_Master_Dashboard'!B$2, "Verlust ⚠️", "Standard")), "")</f>
        <v/>
      </c>
      <c r="O42" s="5">
        <f>IF('1_Master_Dashboard'!B$14&lt;0, "MINUS BESTAND ❌", "OK")</f>
        <v/>
      </c>
    </row>
    <row r="43">
      <c r="A43" t="n">
        <v>39</v>
      </c>
      <c r="B43" s="16" t="inlineStr"/>
      <c r="C43" s="16" t="inlineStr"/>
      <c r="D43" s="16" t="inlineStr"/>
      <c r="E43" s="16" t="inlineStr">
        <is>
          <t>Offen</t>
        </is>
      </c>
      <c r="F43" s="16" t="n">
        <v>0</v>
      </c>
      <c r="G43" s="16" t="n">
        <v>0</v>
      </c>
      <c r="H43" s="16" t="inlineStr">
        <is>
          <t>Bar</t>
        </is>
      </c>
      <c r="I43" s="16" t="n">
        <v>0</v>
      </c>
      <c r="J43" s="16" t="inlineStr">
        <is>
          <t>Fahrtkosten</t>
        </is>
      </c>
      <c r="K43" s="5">
        <f>F43*'1_Master_Dashboard'!B$2</f>
        <v/>
      </c>
      <c r="L43" s="5">
        <f>IF(C43="Verkauf", G43, K43)</f>
        <v/>
      </c>
      <c r="M43" s="5">
        <f>L43-K43-I43</f>
        <v/>
      </c>
      <c r="N43" s="5">
        <f>IF(F43&gt;0, IF((G43/F43)&gt;('1_Master_Dashboard'!B$2*1.2), "Top Deal 🚀", IF((G43/F43)&lt;'1_Master_Dashboard'!B$2, "Verlust ⚠️", "Standard")), "")</f>
        <v/>
      </c>
      <c r="O43" s="5">
        <f>IF('1_Master_Dashboard'!B$14&lt;0, "MINUS BESTAND ❌", "OK")</f>
        <v/>
      </c>
    </row>
    <row r="44">
      <c r="A44" t="n">
        <v>40</v>
      </c>
      <c r="B44" s="16" t="inlineStr"/>
      <c r="C44" s="16" t="inlineStr"/>
      <c r="D44" s="16" t="inlineStr"/>
      <c r="E44" s="16" t="inlineStr">
        <is>
          <t>Offen</t>
        </is>
      </c>
      <c r="F44" s="16" t="n">
        <v>0</v>
      </c>
      <c r="G44" s="16" t="n">
        <v>0</v>
      </c>
      <c r="H44" s="16" t="inlineStr">
        <is>
          <t>Bar</t>
        </is>
      </c>
      <c r="I44" s="16" t="n">
        <v>0</v>
      </c>
      <c r="J44" s="16" t="inlineStr">
        <is>
          <t>Fahrtkosten</t>
        </is>
      </c>
      <c r="K44" s="5">
        <f>F44*'1_Master_Dashboard'!B$2</f>
        <v/>
      </c>
      <c r="L44" s="5">
        <f>IF(C44="Verkauf", G44, K44)</f>
        <v/>
      </c>
      <c r="M44" s="5">
        <f>L44-K44-I44</f>
        <v/>
      </c>
      <c r="N44" s="5">
        <f>IF(F44&gt;0, IF((G44/F44)&gt;('1_Master_Dashboard'!B$2*1.2), "Top Deal 🚀", IF((G44/F44)&lt;'1_Master_Dashboard'!B$2, "Verlust ⚠️", "Standard")), "")</f>
        <v/>
      </c>
      <c r="O44" s="5">
        <f>IF('1_Master_Dashboard'!B$14&lt;0, "MINUS BESTAND ❌", "OK")</f>
        <v/>
      </c>
    </row>
  </sheetData>
  <mergeCells count="3">
    <mergeCell ref="B1:J2"/>
    <mergeCell ref="K1:O2"/>
    <mergeCell ref="A1:A2"/>
  </mergeCells>
  <dataValidations count="4">
    <dataValidation sqref="C5:C100" showDropDown="0" showInputMessage="0" showErrorMessage="0" allowBlank="1" type="list">
      <formula1>"Verkauf,Eigenkonsum"</formula1>
    </dataValidation>
    <dataValidation sqref="E5:E100" showDropDown="0" showInputMessage="0" showErrorMessage="0" allowBlank="1" type="list">
      <formula1>"Bezahlt,Offen"</formula1>
    </dataValidation>
    <dataValidation sqref="H5:H100" showDropDown="0" showInputMessage="0" showErrorMessage="0" allowBlank="1" type="list">
      <formula1>"Bar,Twint,Krypto"</formula1>
    </dataValidation>
    <dataValidation sqref="J5:J100" showDropDown="0" showInputMessage="0" showErrorMessage="0" allowBlank="1" type="list">
      <formula1>"Fahrtkosten,Verpackung,Sonstiges"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</cols>
  <sheetData>
    <row r="1">
      <c r="A1" s="17" t="inlineStr">
        <is>
          <t>⬇️ NAMEN HIER REIN ⬇️</t>
        </is>
      </c>
      <c r="B1" s="18" t="inlineStr">
        <is>
          <t>🚫 NICHT ÄNDERN (FORMELN) 🚫</t>
        </is>
      </c>
    </row>
    <row r="2">
      <c r="A2" s="9" t="inlineStr">
        <is>
          <t>✏️ Kunden Name (HIER EINTRAGEN)</t>
        </is>
      </c>
      <c r="B2" s="8" t="inlineStr">
        <is>
          <t>🔒 Total Gekauft (g)</t>
        </is>
      </c>
      <c r="C2" s="8" t="inlineStr">
        <is>
          <t>🔒 Bezahlt (CHF)</t>
        </is>
      </c>
      <c r="D2" s="8" t="inlineStr">
        <is>
          <t>🔒 Offen (Schulden) (CHF)</t>
        </is>
      </c>
      <c r="E2" s="8" t="inlineStr">
        <is>
          <t>🔒 Ø Preis / g (CHF)</t>
        </is>
      </c>
      <c r="F2" s="8" t="inlineStr">
        <is>
          <t>🔒 Level</t>
        </is>
      </c>
      <c r="G2" s="8" t="inlineStr">
        <is>
          <t>🔒 Mahn-Status</t>
        </is>
      </c>
    </row>
    <row r="3">
      <c r="A3" s="16" t="inlineStr">
        <is>
          <t>Zahnarzt</t>
        </is>
      </c>
      <c r="B3" s="5">
        <f>SUMIFS('3a_Log_Morris'!F:F, '3a_Log_Morris'!D:D, A3, '3a_Log_Morris'!C:C, "Verkauf") + SUMIFS('3b_Log_Boryana'!F:F, '3b_Log_Boryana'!D:D, A3, '3b_Log_Boryana'!C:C, "Verkauf")</f>
        <v/>
      </c>
      <c r="C3" s="5">
        <f>SUMIFS('3a_Log_Morris'!G:G, '3a_Log_Morris'!D:D, A3, '3a_Log_Morris'!E:E, "Bezahlt") + SUMIFS('3b_Log_Boryana'!G:G, '3b_Log_Boryana'!D:D, A3, '3b_Log_Boryana'!E:E, "Bezahlt")</f>
        <v/>
      </c>
      <c r="D3" s="5">
        <f>SUMIFS('3a_Log_Morris'!G:G, '3a_Log_Morris'!D:D, A3, '3a_Log_Morris'!E:E, "Offen") + SUMIFS('3b_Log_Boryana'!G:G, '3b_Log_Boryana'!D:D, A3, '3b_Log_Boryana'!E:E, "Offen")</f>
        <v/>
      </c>
      <c r="E3" s="5">
        <f>IF(B3&gt;0, (C3+D3)/B3, 0)</f>
        <v/>
      </c>
      <c r="F3" s="5">
        <f>IF(B3&gt;=15, "Whale 🐋", IF(B3&gt;=5, "VIP 👑", ""))</f>
        <v/>
      </c>
      <c r="G3" s="5">
        <f>IF(D3&gt;0, "Zahlung ausstehend ⚠️", "Bezahlt 🟢")</f>
        <v/>
      </c>
    </row>
    <row r="4">
      <c r="A4" s="16" t="inlineStr">
        <is>
          <t>Sandro</t>
        </is>
      </c>
      <c r="B4" s="5">
        <f>SUMIFS('3a_Log_Morris'!F:F, '3a_Log_Morris'!D:D, A4, '3a_Log_Morris'!C:C, "Verkauf") + SUMIFS('3b_Log_Boryana'!F:F, '3b_Log_Boryana'!D:D, A4, '3b_Log_Boryana'!C:C, "Verkauf")</f>
        <v/>
      </c>
      <c r="C4" s="5">
        <f>SUMIFS('3a_Log_Morris'!G:G, '3a_Log_Morris'!D:D, A4, '3a_Log_Morris'!E:E, "Bezahlt") + SUMIFS('3b_Log_Boryana'!G:G, '3b_Log_Boryana'!D:D, A4, '3b_Log_Boryana'!E:E, "Bezahlt")</f>
        <v/>
      </c>
      <c r="D4" s="5">
        <f>SUMIFS('3a_Log_Morris'!G:G, '3a_Log_Morris'!D:D, A4, '3a_Log_Morris'!E:E, "Offen") + SUMIFS('3b_Log_Boryana'!G:G, '3b_Log_Boryana'!D:D, A4, '3b_Log_Boryana'!E:E, "Offen")</f>
        <v/>
      </c>
      <c r="E4" s="5">
        <f>IF(B4&gt;0, (C4+D4)/B4, 0)</f>
        <v/>
      </c>
      <c r="F4" s="5">
        <f>IF(B4&gt;=15, "Whale 🐋", IF(B4&gt;=5, "VIP 👑", ""))</f>
        <v/>
      </c>
      <c r="G4" s="5">
        <f>IF(D4&gt;0, "Zahlung ausstehend ⚠️", "Bezahlt 🟢")</f>
        <v/>
      </c>
    </row>
    <row r="5">
      <c r="A5" s="16" t="inlineStr">
        <is>
          <t>Martin</t>
        </is>
      </c>
      <c r="B5" s="5">
        <f>SUMIFS('3a_Log_Morris'!F:F, '3a_Log_Morris'!D:D, A5, '3a_Log_Morris'!C:C, "Verkauf") + SUMIFS('3b_Log_Boryana'!F:F, '3b_Log_Boryana'!D:D, A5, '3b_Log_Boryana'!C:C, "Verkauf")</f>
        <v/>
      </c>
      <c r="C5" s="5">
        <f>SUMIFS('3a_Log_Morris'!G:G, '3a_Log_Morris'!D:D, A5, '3a_Log_Morris'!E:E, "Bezahlt") + SUMIFS('3b_Log_Boryana'!G:G, '3b_Log_Boryana'!D:D, A5, '3b_Log_Boryana'!E:E, "Bezahlt")</f>
        <v/>
      </c>
      <c r="D5" s="5">
        <f>SUMIFS('3a_Log_Morris'!G:G, '3a_Log_Morris'!D:D, A5, '3a_Log_Morris'!E:E, "Offen") + SUMIFS('3b_Log_Boryana'!G:G, '3b_Log_Boryana'!D:D, A5, '3b_Log_Boryana'!E:E, "Offen")</f>
        <v/>
      </c>
      <c r="E5" s="5">
        <f>IF(B5&gt;0, (C5+D5)/B5, 0)</f>
        <v/>
      </c>
      <c r="F5" s="5">
        <f>IF(B5&gt;=15, "Whale 🐋", IF(B5&gt;=5, "VIP 👑", ""))</f>
        <v/>
      </c>
      <c r="G5" s="5">
        <f>IF(D5&gt;0, "Zahlung ausstehend ⚠️", "Bezahlt 🟢")</f>
        <v/>
      </c>
    </row>
    <row r="6">
      <c r="A6" s="16" t="inlineStr">
        <is>
          <t>Ruben</t>
        </is>
      </c>
      <c r="B6" s="5">
        <f>SUMIFS('3a_Log_Morris'!F:F, '3a_Log_Morris'!D:D, A6, '3a_Log_Morris'!C:C, "Verkauf") + SUMIFS('3b_Log_Boryana'!F:F, '3b_Log_Boryana'!D:D, A6, '3b_Log_Boryana'!C:C, "Verkauf")</f>
        <v/>
      </c>
      <c r="C6" s="5">
        <f>SUMIFS('3a_Log_Morris'!G:G, '3a_Log_Morris'!D:D, A6, '3a_Log_Morris'!E:E, "Bezahlt") + SUMIFS('3b_Log_Boryana'!G:G, '3b_Log_Boryana'!D:D, A6, '3b_Log_Boryana'!E:E, "Bezahlt")</f>
        <v/>
      </c>
      <c r="D6" s="5">
        <f>SUMIFS('3a_Log_Morris'!G:G, '3a_Log_Morris'!D:D, A6, '3a_Log_Morris'!E:E, "Offen") + SUMIFS('3b_Log_Boryana'!G:G, '3b_Log_Boryana'!D:D, A6, '3b_Log_Boryana'!E:E, "Offen")</f>
        <v/>
      </c>
      <c r="E6" s="5">
        <f>IF(B6&gt;0, (C6+D6)/B6, 0)</f>
        <v/>
      </c>
      <c r="F6" s="5">
        <f>IF(B6&gt;=15, "Whale 🐋", IF(B6&gt;=5, "VIP 👑", ""))</f>
        <v/>
      </c>
      <c r="G6" s="5">
        <f>IF(D6&gt;0, "Zahlung ausstehend ⚠️", "Bezahlt 🟢")</f>
        <v/>
      </c>
    </row>
    <row r="7">
      <c r="A7" s="16" t="inlineStr">
        <is>
          <t>Kunde X</t>
        </is>
      </c>
      <c r="B7" s="5">
        <f>SUMIFS('3a_Log_Morris'!F:F, '3a_Log_Morris'!D:D, A7, '3a_Log_Morris'!C:C, "Verkauf") + SUMIFS('3b_Log_Boryana'!F:F, '3b_Log_Boryana'!D:D, A7, '3b_Log_Boryana'!C:C, "Verkauf")</f>
        <v/>
      </c>
      <c r="C7" s="5">
        <f>SUMIFS('3a_Log_Morris'!G:G, '3a_Log_Morris'!D:D, A7, '3a_Log_Morris'!E:E, "Bezahlt") + SUMIFS('3b_Log_Boryana'!G:G, '3b_Log_Boryana'!D:D, A7, '3b_Log_Boryana'!E:E, "Bezahlt")</f>
        <v/>
      </c>
      <c r="D7" s="5">
        <f>SUMIFS('3a_Log_Morris'!G:G, '3a_Log_Morris'!D:D, A7, '3a_Log_Morris'!E:E, "Offen") + SUMIFS('3b_Log_Boryana'!G:G, '3b_Log_Boryana'!D:D, A7, '3b_Log_Boryana'!E:E, "Offen")</f>
        <v/>
      </c>
      <c r="E7" s="5">
        <f>IF(B7&gt;0, (C7+D7)/B7, 0)</f>
        <v/>
      </c>
      <c r="F7" s="5">
        <f>IF(B7&gt;=15, "Whale 🐋", IF(B7&gt;=5, "VIP 👑", ""))</f>
        <v/>
      </c>
      <c r="G7" s="5">
        <f>IF(D7&gt;0, "Zahlung ausstehend ⚠️", "Bezahlt 🟢")</f>
        <v/>
      </c>
    </row>
    <row r="8">
      <c r="A8" s="16" t="inlineStr"/>
      <c r="B8" s="5">
        <f>SUMIFS('3a_Log_Morris'!F:F, '3a_Log_Morris'!D:D, A8, '3a_Log_Morris'!C:C, "Verkauf") + SUMIFS('3b_Log_Boryana'!F:F, '3b_Log_Boryana'!D:D, A8, '3b_Log_Boryana'!C:C, "Verkauf")</f>
        <v/>
      </c>
      <c r="C8" s="5">
        <f>SUMIFS('3a_Log_Morris'!G:G, '3a_Log_Morris'!D:D, A8, '3a_Log_Morris'!E:E, "Bezahlt") + SUMIFS('3b_Log_Boryana'!G:G, '3b_Log_Boryana'!D:D, A8, '3b_Log_Boryana'!E:E, "Bezahlt")</f>
        <v/>
      </c>
      <c r="D8" s="5">
        <f>SUMIFS('3a_Log_Morris'!G:G, '3a_Log_Morris'!D:D, A8, '3a_Log_Morris'!E:E, "Offen") + SUMIFS('3b_Log_Boryana'!G:G, '3b_Log_Boryana'!D:D, A8, '3b_Log_Boryana'!E:E, "Offen")</f>
        <v/>
      </c>
      <c r="E8" s="5">
        <f>IF(B8&gt;0, (C8+D8)/B8, 0)</f>
        <v/>
      </c>
      <c r="F8" s="5">
        <f>IF(B8&gt;=15, "Whale 🐋", IF(B8&gt;=5, "VIP 👑", ""))</f>
        <v/>
      </c>
      <c r="G8" s="5">
        <f>IF(D8&gt;0, "Zahlung ausstehend ⚠️", "Bezahlt 🟢")</f>
        <v/>
      </c>
    </row>
    <row r="9">
      <c r="A9" s="16" t="inlineStr"/>
      <c r="B9" s="5">
        <f>SUMIFS('3a_Log_Morris'!F:F, '3a_Log_Morris'!D:D, A9, '3a_Log_Morris'!C:C, "Verkauf") + SUMIFS('3b_Log_Boryana'!F:F, '3b_Log_Boryana'!D:D, A9, '3b_Log_Boryana'!C:C, "Verkauf")</f>
        <v/>
      </c>
      <c r="C9" s="5">
        <f>SUMIFS('3a_Log_Morris'!G:G, '3a_Log_Morris'!D:D, A9, '3a_Log_Morris'!E:E, "Bezahlt") + SUMIFS('3b_Log_Boryana'!G:G, '3b_Log_Boryana'!D:D, A9, '3b_Log_Boryana'!E:E, "Bezahlt")</f>
        <v/>
      </c>
      <c r="D9" s="5">
        <f>SUMIFS('3a_Log_Morris'!G:G, '3a_Log_Morris'!D:D, A9, '3a_Log_Morris'!E:E, "Offen") + SUMIFS('3b_Log_Boryana'!G:G, '3b_Log_Boryana'!D:D, A9, '3b_Log_Boryana'!E:E, "Offen")</f>
        <v/>
      </c>
      <c r="E9" s="5">
        <f>IF(B9&gt;0, (C9+D9)/B9, 0)</f>
        <v/>
      </c>
      <c r="F9" s="5">
        <f>IF(B9&gt;=15, "Whale 🐋", IF(B9&gt;=5, "VIP 👑", ""))</f>
        <v/>
      </c>
      <c r="G9" s="5">
        <f>IF(D9&gt;0, "Zahlung ausstehend ⚠️", "Bezahlt 🟢")</f>
        <v/>
      </c>
    </row>
    <row r="10">
      <c r="A10" s="16" t="inlineStr"/>
      <c r="B10" s="5">
        <f>SUMIFS('3a_Log_Morris'!F:F, '3a_Log_Morris'!D:D, A10, '3a_Log_Morris'!C:C, "Verkauf") + SUMIFS('3b_Log_Boryana'!F:F, '3b_Log_Boryana'!D:D, A10, '3b_Log_Boryana'!C:C, "Verkauf")</f>
        <v/>
      </c>
      <c r="C10" s="5">
        <f>SUMIFS('3a_Log_Morris'!G:G, '3a_Log_Morris'!D:D, A10, '3a_Log_Morris'!E:E, "Bezahlt") + SUMIFS('3b_Log_Boryana'!G:G, '3b_Log_Boryana'!D:D, A10, '3b_Log_Boryana'!E:E, "Bezahlt")</f>
        <v/>
      </c>
      <c r="D10" s="5">
        <f>SUMIFS('3a_Log_Morris'!G:G, '3a_Log_Morris'!D:D, A10, '3a_Log_Morris'!E:E, "Offen") + SUMIFS('3b_Log_Boryana'!G:G, '3b_Log_Boryana'!D:D, A10, '3b_Log_Boryana'!E:E, "Offen")</f>
        <v/>
      </c>
      <c r="E10" s="5">
        <f>IF(B10&gt;0, (C10+D10)/B10, 0)</f>
        <v/>
      </c>
      <c r="F10" s="5">
        <f>IF(B10&gt;=15, "Whale 🐋", IF(B10&gt;=5, "VIP 👑", ""))</f>
        <v/>
      </c>
      <c r="G10" s="5">
        <f>IF(D10&gt;0, "Zahlung ausstehend ⚠️", "Bezahlt 🟢")</f>
        <v/>
      </c>
    </row>
  </sheetData>
  <mergeCells count="2">
    <mergeCell ref="A1"/>
    <mergeCell ref="B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2026-03-06T19:11:36Z</dcterms:created>
  <dcterms:modified xmlns:dcterms="http://purl.org/dc/terms/" xmlns:xsi="http://www.w3.org/2001/XMLSchema-instance" xsi:type="dcterms:W3CDTF">2026-03-06T19:11:36Z</dcterms:modified>
</cp:coreProperties>
</file>