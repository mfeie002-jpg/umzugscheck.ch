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1.xml" ContentType="application/vnd.openxmlformats-officedocument.spreadsheetml.comments+xml"/>
  <Override PartName="/xl/worksheets/sheet4.xml" ContentType="application/vnd.openxmlformats-officedocument.spreadsheetml.worksheet+xml"/>
  <Override PartName="/xl/comments2.xml" ContentType="application/vnd.openxmlformats-officedocument.spreadsheetml.comments+xml"/>
  <Override PartName="/xl/worksheets/sheet5.xml" ContentType="application/vnd.openxmlformats-officedocument.spreadsheetml.worksheet+xml"/>
  <Override PartName="/xl/comments3.xml" ContentType="application/vnd.openxmlformats-officedocument.spreadsheetml.comments+xml"/>
  <Override PartName="/xl/worksheets/sheet6.xml" ContentType="application/vnd.openxmlformats-officedocument.spreadsheetml.worksheet+xml"/>
  <Override PartName="/xl/comments4.xml" ContentType="application/vnd.openxmlformats-officedocument.spreadsheetml.comments+xml"/>
  <Override PartName="/xl/worksheets/sheet7.xml" ContentType="application/vnd.openxmlformats-officedocument.spreadsheetml.worksheet+xml"/>
  <Override PartName="/xl/comments5.xml" ContentType="application/vnd.openxmlformats-officedocument.spreadsheetml.comments+xml"/>
  <Override PartName="/xl/worksheets/sheet8.xml" ContentType="application/vnd.openxmlformats-officedocument.spreadsheetml.worksheet+xml"/>
  <Override PartName="/xl/comments6.xml" ContentType="application/vnd.openxmlformats-officedocument.spreadsheetml.comments+xml"/>
  <Override PartName="/xl/worksheets/sheet9.xml" ContentType="application/vnd.openxmlformats-officedocument.spreadsheetml.worksheet+xml"/>
  <Override PartName="/xl/comments7.xml" ContentType="application/vnd.openxmlformats-officedocument.spreadsheetml.comments+xml"/>
  <Override PartName="/xl/worksheets/sheet10.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2ce90a0bbe5d4850" /></Relationships>
</file>

<file path=xl/workbook.xml><?xml version="1.0" encoding="utf-8"?>
<x:workbook xmlns:x="http://schemas.openxmlformats.org/spreadsheetml/2006/main">
  <x:sheets>
    <x:sheet xmlns:r="http://schemas.openxmlformats.org/officeDocument/2006/relationships" name="README_INPUTS" sheetId="1" r:id="R51dee4ba4e134dfb"/>
    <x:sheet xmlns:r="http://schemas.openxmlformats.org/officeDocument/2006/relationships" name="CURRENT_CASE_NOTES" sheetId="2" r:id="Reebfdfc8c413488a"/>
    <x:sheet xmlns:r="http://schemas.openxmlformats.org/officeDocument/2006/relationships" name="Parameters" sheetId="3" r:id="R1fba62ac4cf04060"/>
    <x:sheet xmlns:r="http://schemas.openxmlformats.org/officeDocument/2006/relationships" name="Sales" sheetId="4" r:id="R49ec38a2b1de4e06"/>
    <x:sheet xmlns:r="http://schemas.openxmlformats.org/officeDocument/2006/relationships" name="Investments" sheetId="5" r:id="R8509430fc2cb4ed0"/>
    <x:sheet xmlns:r="http://schemas.openxmlformats.org/officeDocument/2006/relationships" name="Investors" sheetId="6" r:id="Rac08d05d32924890"/>
    <x:sheet xmlns:r="http://schemas.openxmlformats.org/officeDocument/2006/relationships" name="CustomerDB" sheetId="7" r:id="R096322e9ce8449f3"/>
    <x:sheet xmlns:r="http://schemas.openxmlformats.org/officeDocument/2006/relationships" name="Dashboard" sheetId="8" r:id="R350ddc83fe514851"/>
    <x:sheet xmlns:r="http://schemas.openxmlformats.org/officeDocument/2006/relationships" name="QuickCalc" sheetId="9" r:id="R518c35f883514b3f"/>
    <x:sheet xmlns:r="http://schemas.openxmlformats.org/officeDocument/2006/relationships" name="_Lists" sheetId="10" r:id="R70830a54a6364864"/>
  </x:sheets>
</x:workbook>
</file>

<file path=xl/comments1.xml><?xml version="1.0" encoding="utf-8"?>
<x:comments xmlns:x="http://schemas.openxmlformats.org/spreadsheetml/2006/main">
  <x:authors>
    <x:author>OpenAI</x:author>
  </x:authors>
  <x:commentList>
    <x:comment ref="B1" authorId="0">
      <x:text>
        <x:r>
          <x:t>INPUT: Nur in Spalte B Werte ändern.</x:t>
        </x:r>
      </x:text>
    </x:comment>
  </x:commentList>
</x:comments>
</file>

<file path=xl/comments2.xml><?xml version="1.0" encoding="utf-8"?>
<x:comments xmlns:x="http://schemas.openxmlformats.org/spreadsheetml/2006/main">
  <x:authors>
    <x:author>OpenAI</x:author>
  </x:authors>
  <x:commentList>
    <x:comment ref="A1" authorId="0">
      <x:text>
        <x:r>
          <x:t>FORMULA: Nicht löschen / nicht überschreiben.</x:t>
        </x:r>
      </x:text>
    </x:comment>
    <x:comment ref="B1" authorId="0">
      <x:text>
        <x:r>
          <x:t>INPUT: Datum eintragen.</x:t>
        </x:r>
      </x:text>
    </x:comment>
    <x:comment ref="C1" authorId="0">
      <x:text>
        <x:r>
          <x:t>FORMULA: Nicht löschen / nicht überschreiben.</x:t>
        </x:r>
      </x:text>
    </x:comment>
    <x:comment ref="D1" authorId="0">
      <x:text>
        <x:r>
          <x:t>INPUT: Kundenname eintragen.</x:t>
        </x:r>
      </x:text>
    </x:comment>
    <x:comment ref="E1" authorId="0">
      <x:text>
        <x:r>
          <x:t>INPUT: Nur Sale / Own / Other verwenden.</x:t>
        </x:r>
      </x:text>
    </x:comment>
    <x:comment ref="F1" authorId="0">
      <x:text>
        <x:r>
          <x:t>INPUT: Nur Paid / Open / Partial verwenden.</x:t>
        </x:r>
      </x:text>
    </x:comment>
    <x:comment ref="H1" authorId="0">
      <x:text>
        <x:r>
          <x:t>INPUT: Verkaufte Menge extern.</x:t>
        </x:r>
      </x:text>
    </x:comment>
    <x:comment ref="I1" authorId="0">
      <x:text>
        <x:r>
          <x:t>INPUT: Verkaufspreis pro g.</x:t>
        </x:r>
      </x:text>
    </x:comment>
    <x:comment ref="K1" authorId="0">
      <x:text>
        <x:r>
          <x:t>INPUT: Morris Eigekonsum in g.</x:t>
        </x:r>
      </x:text>
    </x:comment>
    <x:comment ref="L1" authorId="0">
      <x:text>
        <x:r>
          <x:t>INPUT: Boryana Eigekonsum in g.</x:t>
        </x:r>
      </x:text>
    </x:comment>
    <x:comment ref="M1" authorId="0">
      <x:text>
        <x:r>
          <x:t>FORMULA: Nicht löschen / nicht überschreiben.</x:t>
        </x:r>
      </x:text>
    </x:comment>
    <x:comment ref="N1" authorId="0">
      <x:text>
        <x:r>
          <x:t>FORMULA: Nicht löschen / nicht überschreiben.</x:t>
        </x:r>
      </x:text>
    </x:comment>
    <x:comment ref="O1" authorId="0">
      <x:text>
        <x:r>
          <x:t>FORMULA: Nicht löschen / nicht überschreiben.</x:t>
        </x:r>
      </x:text>
    </x:comment>
    <x:comment ref="P1" authorId="0">
      <x:text>
        <x:r>
          <x:t>FORMULA: Nicht löschen / nicht überschreiben.</x:t>
        </x:r>
      </x:text>
    </x:comment>
    <x:comment ref="Q1" authorId="0">
      <x:text>
        <x:r>
          <x:t>FORMULA: Nicht löschen / nicht überschreiben.</x:t>
        </x:r>
      </x:text>
    </x:comment>
    <x:comment ref="R1" authorId="0">
      <x:text>
        <x:r>
          <x:t>FORMULA: Nicht löschen / nicht überschreiben.</x:t>
        </x:r>
      </x:text>
    </x:comment>
    <x:comment ref="S1" authorId="0">
      <x:text>
        <x:r>
          <x:t>FORMULA: Nicht löschen / nicht überschreiben.</x:t>
        </x:r>
      </x:text>
    </x:comment>
    <x:comment ref="T1" authorId="0">
      <x:text>
        <x:r>
          <x:t>FORMULA: Nicht löschen / nicht überschreiben.</x:t>
        </x:r>
      </x:text>
    </x:comment>
    <x:comment ref="U1" authorId="0">
      <x:text>
        <x:r>
          <x:t>FORMULA: Nicht löschen / nicht überschreiben.</x:t>
        </x:r>
      </x:text>
    </x:comment>
    <x:comment ref="V1" authorId="0">
      <x:text>
        <x:r>
          <x:t>Enter actual cash received per sale row here. Outstanding debt calculates automatically as Gross Revenue - Payment Received.</x:t>
        </x:r>
      </x:text>
    </x:comment>
    <x:comment ref="W1" authorId="0">
      <x:text>
        <x:r>
          <x:t>FORMULA: Nicht löschen / nicht überschreiben.</x:t>
        </x:r>
      </x:text>
    </x:comment>
    <x:comment ref="X1" authorId="0">
      <x:text>
        <x:r>
          <x:t>FORMULA: Nicht löschen / nicht überschreiben.</x:t>
        </x:r>
      </x:text>
    </x:comment>
  </x:commentList>
</x:comments>
</file>

<file path=xl/comments3.xml><?xml version="1.0" encoding="utf-8"?>
<x:comments xmlns:x="http://schemas.openxmlformats.org/spreadsheetml/2006/main">
  <x:authors>
    <x:author>OpenAI</x:author>
  </x:authors>
  <x:commentList>
    <x:comment ref="A1" authorId="0">
      <x:text>
        <x:r>
          <x:t>INPUT LOG: Hier neue Investments und Rückzahlungen erfassen.</x:t>
        </x:r>
      </x:text>
    </x:comment>
  </x:commentList>
</x:comments>
</file>

<file path=xl/comments4.xml><?xml version="1.0" encoding="utf-8"?>
<x:comments xmlns:x="http://schemas.openxmlformats.org/spreadsheetml/2006/main">
  <x:authors>
    <x:author>OpenAI</x:author>
  </x:authors>
  <x:commentList>
    <x:comment ref="A1" authorId="0">
      <x:text>
        <x:r>
          <x:t>INPUT: Reihenfolge der Auszahlung / Priorität.</x:t>
        </x:r>
      </x:text>
    </x:comment>
    <x:comment ref="B1" authorId="0">
      <x:text>
        <x:r>
          <x:t>INPUT: Investorname eintragen.</x:t>
        </x:r>
      </x:text>
    </x:comment>
    <x:comment ref="C1" authorId="0">
      <x:text>
        <x:r>
          <x:t>FORMULA: Nicht löschen / nicht überschreiben.</x:t>
        </x:r>
      </x:text>
    </x:comment>
    <x:comment ref="D1" authorId="0">
      <x:text>
        <x:r>
          <x:t>FORMULA: Nicht löschen / nicht überschreiben.</x:t>
        </x:r>
      </x:text>
    </x:comment>
    <x:comment ref="E1" authorId="0">
      <x:text>
        <x:r>
          <x:t>FORMULA: Nicht löschen / nicht überschreiben.</x:t>
        </x:r>
      </x:text>
    </x:comment>
    <x:comment ref="F1" authorId="0">
      <x:text>
        <x:r>
          <x:t>FORMULA: Nicht löschen / nicht überschreiben.</x:t>
        </x:r>
      </x:text>
    </x:comment>
    <x:comment ref="G1" authorId="0">
      <x:text>
        <x:r>
          <x:t>FORMULA: Nicht löschen / nicht überschreiben.</x:t>
        </x:r>
      </x:text>
    </x:comment>
    <x:comment ref="H1" authorId="0">
      <x:text>
        <x:r>
          <x:t>INPUT: Nur wenn du interne Zahlungen manuell nachführen willst.</x:t>
        </x:r>
      </x:text>
    </x:comment>
    <x:comment ref="I1" authorId="0">
      <x:text>
        <x:r>
          <x:t>FORMULA: Nicht löschen / nicht überschreiben.</x:t>
        </x:r>
      </x:text>
    </x:comment>
    <x:comment ref="J1" authorId="0">
      <x:text>
        <x:r>
          <x:t>FORMULA: Nicht löschen / nicht überschreiben.</x:t>
        </x:r>
      </x:text>
    </x:comment>
  </x:commentList>
</x:comments>
</file>

<file path=xl/comments5.xml><?xml version="1.0" encoding="utf-8"?>
<x:comments xmlns:x="http://schemas.openxmlformats.org/spreadsheetml/2006/main">
  <x:authors>
    <x:author>OpenAI</x:author>
  </x:authors>
  <x:commentList>
    <x:comment ref="A1" authorId="0">
      <x:text>
        <x:r>
          <x:t>INPUT: Kundenname. Danach rechnen D:G automatisch.</x:t>
        </x:r>
      </x:text>
    </x:comment>
    <x:comment ref="D1" authorId="0">
      <x:text>
        <x:r>
          <x:t>FORMULA: Nicht löschen / nicht überschreiben.</x:t>
        </x:r>
      </x:text>
    </x:comment>
    <x:comment ref="E1" authorId="0">
      <x:text>
        <x:r>
          <x:t>FORMULA: Nicht löschen / nicht überschreiben.</x:t>
        </x:r>
      </x:text>
    </x:comment>
    <x:comment ref="F1" authorId="0">
      <x:text>
        <x:r>
          <x:t>FORMULA: Nicht löschen / nicht überschreiben.</x:t>
        </x:r>
      </x:text>
    </x:comment>
    <x:comment ref="G1" authorId="0">
      <x:text>
        <x:r>
          <x:t>FORMULA: Nicht löschen / nicht überschreiben.</x:t>
        </x:r>
      </x:text>
    </x:comment>
  </x:commentList>
</x:comments>
</file>

<file path=xl/comments6.xml><?xml version="1.0" encoding="utf-8"?>
<x:comments xmlns:x="http://schemas.openxmlformats.org/spreadsheetml/2006/main">
  <x:authors>
    <x:author>OpenAI</x:author>
  </x:authors>
  <x:commentList>
    <x:comment ref="B1" authorId="0">
      <x:text>
        <x:r>
          <x:t>FORMULA DASHBOARD: Hier nichts manuell eingeben.</x:t>
        </x:r>
      </x:text>
    </x:comment>
  </x:commentList>
</x:comments>
</file>

<file path=xl/comments7.xml><?xml version="1.0" encoding="utf-8"?>
<x:comments xmlns:x="http://schemas.openxmlformats.org/spreadsheetml/2006/main">
  <x:authors>
    <x:author>OpenAI</x:author>
  </x:authors>
  <x:commentList>
    <x:comment ref="B1" authorId="0">
      <x:text>
        <x:r>
          <x:t>B2:B5 = INPUT. B6:B8 = FORMULA. Profit = Revenue - Base Cost - Expenses.</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numFmts count="4">
    <x:numFmt numFmtId="164" formatCode="dd.mm.yyyy"/>
    <x:numFmt numFmtId="165" formatCode="#,##0.00;[Red](#,##0.00);-"/>
    <x:numFmt numFmtId="166" formatCode="&quot;CHF&quot; #,##0.00;[Red](&quot;CHF&quot; #,##0.00);-"/>
    <x:numFmt numFmtId="167" formatCode="yyyy-mm-dd"/>
  </x:numFmts>
  <x:fonts count="5">
    <x:font>
      <x:sz val="11"/>
      <x:color theme="1"/>
      <x:name val="Calibri"/>
      <x:family val="2"/>
      <x:scheme val="minor"/>
    </x:font>
    <x:font>
      <x:b/>
      <x:sz val="14"/>
      <x:color rgb="00FFFFFF"/>
    </x:font>
    <x:font>
      <x:b/>
      <x:color rgb="00FFFFFF"/>
    </x:font>
    <x:font>
      <x:color rgb="000000FF"/>
    </x:font>
    <x:font>
      <x:color rgb="00000000"/>
    </x:font>
  </x:fonts>
  <x:fills count="6">
    <x:fill>
      <x:patternFill patternType="none"/>
    </x:fill>
    <x:fill>
      <x:patternFill patternType="gray125"/>
    </x:fill>
    <x:fill>
      <x:patternFill patternType="solid">
        <x:fgColor rgb="001F4E78"/>
      </x:patternFill>
    </x:fill>
    <x:fill>
      <x:patternFill patternType="solid">
        <x:fgColor rgb="00FFF2CC"/>
      </x:patternFill>
    </x:fill>
    <x:fill>
      <x:patternFill patternType="solid">
        <x:fgColor rgb="00DDEBF7"/>
      </x:patternFill>
    </x:fill>
    <x:fill>
      <x:patternFill patternType="solid">
        <x:fgColor rgb="00FCE4D6"/>
      </x:patternFill>
    </x:fill>
  </x:fills>
  <x:borders count="2">
    <x:border>
      <x:left/>
      <x:right/>
      <x:top/>
      <x:bottom/>
      <x:diagonal/>
    </x:border>
    <x:border>
      <x:left style="thin">
        <x:color rgb="00D0D0D0"/>
      </x:left>
      <x:right style="thin">
        <x:color rgb="00D0D0D0"/>
      </x:right>
      <x:top style="thin">
        <x:color rgb="00D0D0D0"/>
      </x:top>
      <x:bottom style="thin">
        <x:color rgb="00D0D0D0"/>
      </x:bottom>
    </x:border>
  </x:borders>
  <x:cellStyleXfs count="1">
    <x:xf numFmtId="0" fontId="0" fillId="0" borderId="0"/>
  </x:cellStyleXfs>
  <x:cellXfs count="20">
    <x:xf numFmtId="0" fontId="0" fillId="0" borderId="0" xfId="0"/>
    <x:xf numFmtId="0" fontId="1" fillId="2" borderId="0" xfId="0" applyAlignment="1">
      <x:alignment horizontal="left"/>
    </x:xf>
    <x:xf numFmtId="0" fontId="2" fillId="2" borderId="1" xfId="0" applyAlignment="1">
      <x:alignment vertical="top" wrapText="1"/>
    </x:xf>
    <x:xf numFmtId="0" fontId="0" fillId="3" borderId="1" xfId="0" applyAlignment="1">
      <x:alignment vertical="top" wrapText="1"/>
    </x:xf>
    <x:xf numFmtId="0" fontId="0" fillId="0" borderId="1" xfId="0" applyAlignment="1">
      <x:alignment vertical="top" wrapText="1"/>
    </x:xf>
    <x:xf numFmtId="0" fontId="0" fillId="4" borderId="1" xfId="0" applyAlignment="1">
      <x:alignment vertical="top" wrapText="1"/>
    </x:xf>
    <x:xf numFmtId="0" fontId="0" fillId="5" borderId="1" xfId="0" applyAlignment="1">
      <x:alignment vertical="top" wrapText="1"/>
    </x:xf>
    <x:xf numFmtId="0" fontId="2" fillId="2" borderId="1" xfId="0" applyAlignment="1">
      <x:alignment wrapText="1"/>
    </x:xf>
    <x:xf numFmtId="0" fontId="4" fillId="4" borderId="1" xfId="0" applyAlignment="1">
      <x:alignment wrapText="1"/>
    </x:xf>
    <x:xf numFmtId="0" fontId="3" fillId="3" borderId="1" xfId="0" applyAlignment="1">
      <x:alignment wrapText="1"/>
    </x:xf>
    <x:xf numFmtId="0" fontId="2" fillId="2" borderId="1" xfId="0" applyAlignment="1">
      <x:alignment horizontal="center" wrapText="1"/>
    </x:xf>
    <x:xf numFmtId="0" fontId="4" fillId="4" borderId="1" xfId="0"/>
    <x:xf numFmtId="164" fontId="3" fillId="3" borderId="1" xfId="0"/>
    <x:xf numFmtId="0" fontId="3" fillId="3" borderId="1" xfId="0"/>
    <x:xf numFmtId="165" fontId="3" fillId="3" borderId="1" xfId="0"/>
    <x:xf numFmtId="165" fontId="4" fillId="4" borderId="1" xfId="0"/>
    <x:xf numFmtId="166" fontId="4" fillId="4" borderId="1" xfId="0"/>
    <x:xf numFmtId="0" fontId="2" fillId="2" borderId="1" xfId="0"/>
    <x:xf numFmtId="166" fontId="3" fillId="3" borderId="1" xfId="0"/>
    <x:xf numFmtId="167" fontId="3" fillId="3" borderId="1" xfId="0"/>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f868b1e5840e42bd" /><Relationship Type="http://schemas.openxmlformats.org/officeDocument/2006/relationships/theme" Target="/xl/theme/theme1.xml" Id="Rf6d3d552afcd4511" /><Relationship Type="http://schemas.openxmlformats.org/officeDocument/2006/relationships/sharedStrings" Target="/xl/sharedStrings.xml" Id="R2d70aa4d6ed04ff7" /><Relationship Type="http://schemas.openxmlformats.org/officeDocument/2006/relationships/worksheet" Target="/xl/worksheets/sheet1.xml" Id="R51dee4ba4e134dfb" /><Relationship Type="http://schemas.openxmlformats.org/officeDocument/2006/relationships/worksheet" Target="/xl/worksheets/sheet2.xml" Id="Reebfdfc8c413488a" /><Relationship Type="http://schemas.openxmlformats.org/officeDocument/2006/relationships/worksheet" Target="/xl/worksheets/sheet3.xml" Id="R1fba62ac4cf04060" /><Relationship Type="http://schemas.openxmlformats.org/officeDocument/2006/relationships/worksheet" Target="/xl/worksheets/sheet4.xml" Id="R49ec38a2b1de4e06" /><Relationship Type="http://schemas.openxmlformats.org/officeDocument/2006/relationships/worksheet" Target="/xl/worksheets/sheet5.xml" Id="R8509430fc2cb4ed0" /><Relationship Type="http://schemas.openxmlformats.org/officeDocument/2006/relationships/worksheet" Target="/xl/worksheets/sheet6.xml" Id="Rac08d05d32924890" /><Relationship Type="http://schemas.openxmlformats.org/officeDocument/2006/relationships/worksheet" Target="/xl/worksheets/sheet7.xml" Id="R096322e9ce8449f3" /><Relationship Type="http://schemas.openxmlformats.org/officeDocument/2006/relationships/worksheet" Target="/xl/worksheets/sheet8.xml" Id="R350ddc83fe514851" /><Relationship Type="http://schemas.openxmlformats.org/officeDocument/2006/relationships/worksheet" Target="/xl/worksheets/sheet9.xml" Id="R518c35f883514b3f" /><Relationship Type="http://schemas.openxmlformats.org/officeDocument/2006/relationships/worksheet" Target="/xl/worksheets/sheet10.xml" Id="R70830a54a6364864" /><Relationship Type="http://schemas.microsoft.com/office/2017/10/relationships/person" Target="/xl/persons/person.xml" Id="Rc596da9c06f6475e" /></Relationships>
</file>

<file path=xl/persons/person.xml><?xml version="1.0" encoding="utf-8"?>
<xltc:personList xmlns:xltc="http://schemas.microsoft.com/office/spreadsheetml/2018/threadedcomments">
  <xltc:person displayName="OpenAI" id="{DCDD1BBB-F7A2-268C-166F-A08E7ECD9394}"/>
  <xltc:person displayName="OpenAI" id="{DACCAA9C-0B53-401F-93C4-3567D5050896}"/>
  <xltc:person displayName="OpenAI" id="{7FA5DB6B-AD4F-70AB-5984-1A32143D1E54}"/>
  <xltc:person displayName="OpenAI" id="{80390E08-4353-94EE-508B-CF693C29A649}"/>
  <xltc:person displayName="OpenAI" id="{6822C914-4192-7FF8-F9D0-7B1A78A7EA38}"/>
  <xltc:person displayName="OpenAI" id="{EA44775B-7FA4-5332-24FD-715AD7C4A962}"/>
  <xltc:person displayName="OpenAI" id="{07E83879-2462-8D4F-E821-E0812E007ACD}"/>
</xltc:personList>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comments" Target="/xl/comments1.xml" Id="R7946885bbec74bf6" /><Relationship Type="http://schemas.openxmlformats.org/officeDocument/2006/relationships/vmlDrawing" Target="/xl/drawings/vmldrawing.vml" Id="Ra427c698eb0a4bf5" /></Relationships>
</file>

<file path=xl/worksheets/_rels/sheet4.xml.rels>&#65279;<?xml version="1.0" encoding="utf-8"?><Relationships xmlns="http://schemas.openxmlformats.org/package/2006/relationships"><Relationship Type="http://schemas.openxmlformats.org/officeDocument/2006/relationships/comments" Target="/xl/comments2.xml" Id="R8da475f0a1f34972" /><Relationship Type="http://schemas.openxmlformats.org/officeDocument/2006/relationships/vmlDrawing" Target="/xl/drawings/vmldrawing2.vml" Id="R03b16b2c4d1c40bc" /></Relationships>
</file>

<file path=xl/worksheets/_rels/sheet5.xml.rels>&#65279;<?xml version="1.0" encoding="utf-8"?><Relationships xmlns="http://schemas.openxmlformats.org/package/2006/relationships"><Relationship Type="http://schemas.openxmlformats.org/officeDocument/2006/relationships/comments" Target="/xl/comments3.xml" Id="R79786e1ed82b459f" /><Relationship Type="http://schemas.openxmlformats.org/officeDocument/2006/relationships/vmlDrawing" Target="/xl/drawings/vmldrawing3.vml" Id="R1e6c94ca449040dc" /></Relationships>
</file>

<file path=xl/worksheets/_rels/sheet6.xml.rels>&#65279;<?xml version="1.0" encoding="utf-8"?><Relationships xmlns="http://schemas.openxmlformats.org/package/2006/relationships"><Relationship Type="http://schemas.openxmlformats.org/officeDocument/2006/relationships/comments" Target="/xl/comments4.xml" Id="R5f4110d13e6f4325" /><Relationship Type="http://schemas.openxmlformats.org/officeDocument/2006/relationships/vmlDrawing" Target="/xl/drawings/vmldrawing4.vml" Id="R573e473667e947de" /></Relationships>
</file>

<file path=xl/worksheets/_rels/sheet7.xml.rels>&#65279;<?xml version="1.0" encoding="utf-8"?><Relationships xmlns="http://schemas.openxmlformats.org/package/2006/relationships"><Relationship Type="http://schemas.openxmlformats.org/officeDocument/2006/relationships/comments" Target="/xl/comments5.xml" Id="R0baab2514c5a4068" /><Relationship Type="http://schemas.openxmlformats.org/officeDocument/2006/relationships/vmlDrawing" Target="/xl/drawings/vmldrawing5.vml" Id="R22f1c5d501344d90" /></Relationships>
</file>

<file path=xl/worksheets/_rels/sheet8.xml.rels>&#65279;<?xml version="1.0" encoding="utf-8"?><Relationships xmlns="http://schemas.openxmlformats.org/package/2006/relationships"><Relationship Type="http://schemas.openxmlformats.org/officeDocument/2006/relationships/comments" Target="/xl/comments6.xml" Id="Raf2db20c6785412e" /><Relationship Type="http://schemas.openxmlformats.org/officeDocument/2006/relationships/vmlDrawing" Target="/xl/drawings/vmldrawing6.vml" Id="R6c3fc15fe106493c" /></Relationships>
</file>

<file path=xl/worksheets/_rels/sheet9.xml.rels>&#65279;<?xml version="1.0" encoding="utf-8"?><Relationships xmlns="http://schemas.openxmlformats.org/package/2006/relationships"><Relationship Type="http://schemas.openxmlformats.org/officeDocument/2006/relationships/comments" Target="/xl/comments7.xml" Id="R68c55d38e7ee42b7" /><Relationship Type="http://schemas.openxmlformats.org/officeDocument/2006/relationships/vmlDrawing" Target="/xl/drawings/vmldrawing7.vml" Id="R0c3804d7d6264a80" /></Relationships>
</file>

<file path=xl/worksheets/sheet1.xml><?xml version="1.0" encoding="utf-8"?>
<x:worksheet xmlns:x="http://schemas.openxmlformats.org/spreadsheetml/2006/main">
  <x:sheetViews>
    <x:sheetView showGridLines="0" workbookViewId="0"/>
  </x:sheetViews>
  <x:sheetFormatPr baseColWidth="8" defaultRowHeight="15"/>
  <x:cols>
    <x:col min="1" max="1" width="24" customWidth="1"/>
    <x:col min="2" max="2" width="32" customWidth="1"/>
    <x:col min="3" max="3" width="60" customWidth="1"/>
  </x:cols>
  <x:sheetData>
    <x:row r="1">
      <x:c r="A1" s="1" t="inlineStr">
        <x:is>
          <x:t xml:space="preserve">Big Boss – Wo eingeben / was NICHT löschen</x:t>
        </x:is>
      </x:c>
    </x:row>
    <x:row r="3">
      <x:c r="A3" s="2" t="inlineStr">
        <x:is>
          <x:t xml:space="preserve">FARBE</x:t>
        </x:is>
      </x:c>
      <x:c r="B3" s="2" t="inlineStr">
        <x:is>
          <x:t xml:space="preserve">Bedeutung</x:t>
        </x:is>
      </x:c>
      <x:c r="C3" s="2" t="inlineStr">
        <x:is>
          <x:t xml:space="preserve">Hinweis</x:t>
        </x:is>
      </x:c>
    </x:row>
    <x:row r="4">
      <x:c r="A4" s="3" t="inlineStr">
        <x:is>
          <x:t xml:space="preserve">Gelb</x:t>
        </x:is>
      </x:c>
      <x:c r="B4" s="4" t="inlineStr">
        <x:is>
          <x:t xml:space="preserve">Eingabezellen</x:t>
        </x:is>
      </x:c>
      <x:c r="C4" s="4" t="inlineStr">
        <x:is>
          <x:t xml:space="preserve">Hier Werte manuell eintragen.</x:t>
        </x:is>
      </x:c>
    </x:row>
    <x:row r="5">
      <x:c r="A5" s="5" t="inlineStr">
        <x:is>
          <x:t xml:space="preserve">Hellblau</x:t>
        </x:is>
      </x:c>
      <x:c r="B5" s="4" t="inlineStr">
        <x:is>
          <x:t xml:space="preserve">Berechnungen</x:t>
        </x:is>
      </x:c>
      <x:c r="C5" s="4" t="inlineStr">
        <x:is>
          <x:t xml:space="preserve">Diese Zellen NICHT überschreiben oder löschen.</x:t>
        </x:is>
      </x:c>
    </x:row>
    <x:row r="6">
      <x:c r="A6" s="6" t="inlineStr">
        <x:is>
          <x:t xml:space="preserve">Orange</x:t>
        </x:is>
      </x:c>
      <x:c r="B6" s="4" t="inlineStr">
        <x:is>
          <x:t xml:space="preserve">Hinweis / Review</x:t>
        </x:is>
      </x:c>
      <x:c r="C6" s="4" t="inlineStr">
        <x:is>
          <x:t xml:space="preserve">Nur prüfen, normalerweise nicht direkt überschreiben.</x:t>
        </x:is>
      </x:c>
    </x:row>
    <x:row r="7">
      <x:c r="A7" s="4" t="inlineStr">
        <x:is>
          <x:t xml:space="preserve"/>
        </x:is>
      </x:c>
      <x:c r="B7" s="4" t="inlineStr">
        <x:is>
          <x:t xml:space="preserve"/>
        </x:is>
      </x:c>
      <x:c r="C7" s="4" t="inlineStr">
        <x:is>
          <x:t xml:space="preserve"/>
        </x:is>
      </x:c>
    </x:row>
    <x:row r="8">
      <x:c r="A8" s="2" t="inlineStr">
        <x:is>
          <x:t xml:space="preserve">SHEET</x:t>
        </x:is>
      </x:c>
      <x:c r="B8" s="2" t="inlineStr">
        <x:is>
          <x:t xml:space="preserve">WO MUSST DU EINGEBEN?</x:t>
        </x:is>
      </x:c>
      <x:c r="C8" s="2" t="inlineStr">
        <x:is>
          <x:t xml:space="preserve">WAS NICHT LÖSCHEN?</x:t>
        </x:is>
      </x:c>
    </x:row>
    <x:row r="9">
      <x:c r="A9" s="4" t="inlineStr">
        <x:is>
          <x:t xml:space="preserve">Parameters</x:t>
        </x:is>
      </x:c>
      <x:c r="B9" s="4" t="inlineStr">
        <x:is>
          <x:t xml:space="preserve">B2:B7</x:t>
        </x:is>
      </x:c>
      <x:c r="C9" s="4" t="inlineStr">
        <x:is>
          <x:t xml:space="preserve">Alle anderen Zellen sind Parameter-Labels oder Beschreibungen.</x:t>
        </x:is>
      </x:c>
    </x:row>
    <x:row r="10">
      <x:c r="A10" s="4" t="inlineStr">
        <x:is>
          <x:t xml:space="preserve">Sales</x:t>
        </x:is>
      </x:c>
      <x:c r="B10" s="4" t="inlineStr">
        <x:is>
          <x:t xml:space="preserve">B:B, D:L, V:V und Y:Y ab Zeile 2</x:t>
        </x:is>
      </x:c>
      <x:c r="C10" s="4" t="inlineStr">
        <x:is>
          <x:t xml:space="preserve">A, C und M:W sind Berechnungen. Nicht überschreiben. (V = Zahlungseingang ist Eingabe)</x:t>
        </x:is>
      </x:c>
    </x:row>
    <x:row r="11">
      <x:c r="A11" s="4" t="inlineStr">
        <x:is>
          <x:t xml:space="preserve">Investments</x:t>
        </x:is>
      </x:c>
      <x:c r="B11" s="4" t="inlineStr">
        <x:is>
          <x:t xml:space="preserve">A:E ab Zeile 2</x:t>
        </x:is>
      </x:c>
      <x:c r="C11" s="4" t="inlineStr">
        <x:is>
          <x:t xml:space="preserve">Keine Formelspalten – das ist dein Eingabelog für Investments/Rückzahlungen.</x:t>
        </x:is>
      </x:c>
    </x:row>
    <x:row r="12">
      <x:c r="A12" s="4" t="inlineStr">
        <x:is>
          <x:t xml:space="preserve">Investors</x:t>
        </x:is>
      </x:c>
      <x:c r="B12" s="4" t="inlineStr">
        <x:is>
          <x:t xml:space="preserve">A:B und H ab Zeile 2</x:t>
        </x:is>
      </x:c>
      <x:c r="C12" s="4" t="inlineStr">
        <x:is>
          <x:t xml:space="preserve">C:G und I:J sind Berechnungen.</x:t>
        </x:is>
      </x:c>
    </x:row>
    <x:row r="13">
      <x:c r="A13" s="4" t="inlineStr">
        <x:is>
          <x:t xml:space="preserve">CustomerDB</x:t>
        </x:is>
      </x:c>
      <x:c r="B13" s="4" t="inlineStr">
        <x:is>
          <x:t xml:space="preserve">A:C und H ab Zeile 2</x:t>
        </x:is>
      </x:c>
      <x:c r="C13" s="4" t="inlineStr">
        <x:is>
          <x:t xml:space="preserve">D:G sind Berechnungen.</x:t>
        </x:is>
      </x:c>
    </x:row>
    <x:row r="14">
      <x:c r="A14" s="4" t="inlineStr">
        <x:is>
          <x:t xml:space="preserve">Dashboard</x:t>
        </x:is>
      </x:c>
      <x:c r="B14" s="4" t="inlineStr">
        <x:is>
          <x:t xml:space="preserve">Nichts manuell</x:t>
        </x:is>
      </x:c>
      <x:c r="C14" s="4" t="inlineStr">
        <x:is>
          <x:t xml:space="preserve">Alles ist Berechnung / Übersicht.</x:t>
        </x:is>
      </x:c>
    </x:row>
    <x:row r="15">
      <x:c r="A15" s="4" t="inlineStr">
        <x:is>
          <x:t xml:space="preserve">QuickCalc</x:t>
        </x:is>
      </x:c>
      <x:c r="B15" s="4" t="inlineStr">
        <x:is>
          <x:t xml:space="preserve">B2:B5</x:t>
        </x:is>
      </x:c>
      <x:c r="C15" s="4" t="inlineStr">
        <x:is>
          <x:t xml:space="preserve">B6:B8 sind Berechnungen.</x:t>
        </x:is>
      </x:c>
    </x:row>
    <x:row r="16">
      <x:c r="A16" s="4" t="inlineStr">
        <x:is>
          <x:t xml:space="preserve"/>
        </x:is>
      </x:c>
      <x:c r="B16" s="4" t="inlineStr">
        <x:is>
          <x:t xml:space="preserve"/>
        </x:is>
      </x:c>
      <x:c r="C16" s="4" t="inlineStr">
        <x:is>
          <x:t xml:space="preserve"/>
        </x:is>
      </x:c>
    </x:row>
    <x:row r="17">
      <x:c r="A17" s="4" t="inlineStr">
        <x:is>
          <x:t xml:space="preserve">WICHTIG</x:t>
        </x:is>
      </x:c>
      <x:c r="B17" s="4" t="inlineStr">
        <x:is>
          <x:t xml:space="preserve">Wenn du eine Formelspalte leer machen willst</x:t>
        </x:is>
      </x:c>
      <x:c r="C17" s="4" t="inlineStr">
        <x:is>
          <x:t xml:space="preserve">Nur den Inhalt der GELBEN Zellen löschen, nie die hellblauen Formeln.</x:t>
        </x:is>
      </x:c>
    </x:row>
    <x:row r="18">
      <x:c r="A18" s="4" t="inlineStr">
        <x:is>
          <x:t xml:space="preserve">WICHTIG</x:t>
        </x:is>
      </x:c>
      <x:c r="B18" s="4" t="inlineStr">
        <x:is>
          <x:t xml:space="preserve">Payment Status in Sales</x:t>
        </x:is>
      </x:c>
      <x:c r="C18" s="4" t="inlineStr">
        <x:is>
          <x:t xml:space="preserve">Verwende nur: Paid / Open / Partial.</x:t>
        </x:is>
      </x:c>
    </x:row>
    <x:row r="19">
      <x:c r="A19" s="4" t="inlineStr">
        <x:is>
          <x:t xml:space="preserve">WICHTIG</x:t>
        </x:is>
      </x:c>
      <x:c r="B19" s="4" t="inlineStr">
        <x:is>
          <x:t xml:space="preserve">Transaction Type in Sales</x:t>
        </x:is>
      </x:c>
      <x:c r="C19" s="4" t="inlineStr">
        <x:is>
          <x:t xml:space="preserve">Verwende nur: Sale / Own / Other.</x:t>
        </x:is>
      </x:c>
    </x:row>
  </x:sheetData>
  <x:mergeCells>
    <x:mergeCell ref="A1:C1"/>
  </x:mergeCells>
  <x:pageMargins left="0.7" right="0.7" top="0.75" bottom="0.75" header="0.3" footer="0.3"/>
</x:worksheet>
</file>

<file path=xl/worksheets/sheet2.xml><?xml version="1.0" encoding="utf-8"?>
<x:worksheet xmlns:x="http://schemas.openxmlformats.org/spreadsheetml/2006/main">
  <x:sheetFormatPr baseColWidth="8" defaultRowHeight="15"/>
  <x:cols>
    <x:col min="1" max="1" width="140" customWidth="1"/>
  </x:cols>
  <x:sheetData>
    <x:row r="1">
      <x:c r="A1" t="inlineStr">
        <x:is>
          <x:t xml:space="preserve">Current case loaded for Big Boss</x:t>
        </x:is>
      </x:c>
    </x:row>
    <x:row r="3">
      <x:c r="A3" t="inlineStr">
        <x:is>
          <x:t xml:space="preserve">Known values entered</x:t>
        </x:is>
      </x:c>
    </x:row>
    <x:row r="4">
      <x:c r="A4" t="inlineStr">
        <x:is>
          <x:t xml:space="preserve">- Tracked bowl start quantity: 48.5 g</x:t>
        </x:is>
      </x:c>
    </x:row>
    <x:row r="5">
      <x:c r="A5" t="inlineStr">
        <x:is>
          <x:t xml:space="preserve">- Basis price: 35 CHF/g</x:t>
        </x:is>
      </x:c>
    </x:row>
    <x:row r="6">
      <x:c r="A6" t="inlineStr">
        <x:is>
          <x:t xml:space="preserve">- Investors: Morris 500 CHF, Third Party Investor 3000 CHF</x:t>
        </x:is>
      </x:c>
    </x:row>
    <x:row r="7">
      <x:c r="A7" t="inlineStr">
        <x:is>
          <x:t xml:space="preserve">- External quantities: Zahnarzt 10 g, Sandro 5 g, Martin 2 g, Ruben 5 g</x:t>
        </x:is>
      </x:c>
    </x:row>
    <x:row r="8">
      <x:c r="A8" t="inlineStr">
        <x:is>
          <x:t xml:space="preserve">- Morris internal quantity: 8.5 g total</x:t>
        </x:is>
      </x:c>
    </x:row>
    <x:row r="9">
      <x:c r="A9" t="inlineStr">
        <x:is>
          <x:t xml:space="preserve">- Boryana internal quantity: 0 g</x:t>
        </x:is>
      </x:c>
    </x:row>
    <x:row r="10">
      <x:c r="A10" t="inlineStr">
        <x:is>
          <x:t xml:space="preserve">- External sales total: 1200 CHF</x:t>
        </x:is>
      </x:c>
    </x:row>
    <x:row r="11">
      <x:c r="A11" t="inlineStr">
        <x:is>
          <x:t xml:space="preserve">- Cash actually received so far: 1000 CHF</x:t>
        </x:is>
      </x:c>
    </x:row>
    <x:row r="12">
      <x:c r="A12" t="inlineStr">
        <x:is>
          <x:t xml:space="preserve">- Outstanding customer amount: 200 CHF</x:t>
        </x:is>
      </x:c>
    </x:row>
    <x:row r="15">
      <x:c r="A15" t="inlineStr">
        <x:is>
          <x:t xml:space="preserve">Assumptions used</x:t>
        </x:is>
      </x:c>
    </x:row>
    <x:row r="16">
      <x:c r="A16" t="inlineStr">
        <x:is>
          <x:t xml:space="preserve">- Customer-level sale prices were not provided. To match the known total of 1200 CHF and 1000 CHF received / 200 CHF open, I used: Zahnarzt 550, Sandro 275, Martin 100, Ruben 275 with Ruben partially paid (75 received, 200 open).</x:t>
        </x:is>
      </x:c>
    </x:row>
    <x:row r="17">
      <x:c r="A17" t="inlineStr">
        <x:is>
          <x:t xml:space="preserve">- No exact transaction dates were provided, so the file uses 2026-03-06 as the capture date.</x:t>
        </x:is>
      </x:c>
    </x:row>
    <x:row r="18">
      <x:c r="A18" t="inlineStr">
        <x:is>
          <x:t xml:space="preserve">- Investor repayments are booked only from cash actually received so far: 500 CHF back to Morris and 500 CHF back to the Third Party Investor. When the extra 200 CHF arrives, add it as another repayment line for the Third Party Investor.</x:t>
        </x:is>
      </x:c>
    </x:row>
    <x:row r="19">
      <x:c r="A19" t="inlineStr">
        <x:is>
          <x:t xml:space="preserve">- Morris internal purchase is tracked as internal debt of 8.5 g x 35 CHF = 297.50 CHF and is NOT booked as cash received yet.</x:t>
        </x:is>
      </x:c>
    </x:row>
    <x:row r="22">
      <x:c r="A22" t="inlineStr">
        <x:is>
          <x:t xml:space="preserve">Do not delete formula columns in Sales: A, C, M:W, X. Input columns are highlighted in yellow, formulas in blue.</x:t>
        </x:is>
      </x:c>
    </x:row>
  </x:sheetData>
  <x:pageMargins left="0.7" right="0.7" top="0.75" bottom="0.75" header="0.3" footer="0.3"/>
</x:worksheet>
</file>

<file path=xl/worksheets/sheet3.xml><?xml version="1.0" encoding="utf-8"?>
<x:worksheet xmlns:x="http://schemas.openxmlformats.org/spreadsheetml/2006/main">
  <x:sheetFormatPr baseColWidth="8" defaultRowHeight="15"/>
  <x:cols>
    <x:col min="1" max="1" width="25" customWidth="1"/>
    <x:col min="2" max="2" width="22" customWidth="1"/>
    <x:col min="3" max="3" width="40" customWidth="1"/>
  </x:cols>
  <x:sheetData>
    <x:row r="1">
      <x:c r="A1" s="7" t="inlineStr">
        <x:is>
          <x:t xml:space="preserve">Parameter</x:t>
        </x:is>
      </x:c>
      <x:c r="B1" s="7" t="inlineStr">
        <x:is>
          <x:t xml:space="preserve">Value</x:t>
        </x:is>
      </x:c>
      <x:c r="C1" s="7" t="inlineStr">
        <x:is>
          <x:t xml:space="preserve">Description</x:t>
        </x:is>
      </x:c>
    </x:row>
    <x:row r="2">
      <x:c r="A2" s="8" t="inlineStr">
        <x:is>
          <x:t xml:space="preserve">Basispreis (CHF/g)</x:t>
        </x:is>
      </x:c>
      <x:c r="B2" s="9" t="n">
        <x:v>35</x:v>
      </x:c>
      <x:c r="C2" s="8" t="inlineStr">
        <x:is>
          <x:t xml:space="preserve">Base price per gram</x:t>
        </x:is>
      </x:c>
    </x:row>
    <x:row r="3">
      <x:c r="A3" s="8" t="inlineStr">
        <x:is>
          <x:t xml:space="preserve">Startmenge Schale (g)</x:t>
        </x:is>
      </x:c>
      <x:c r="B3" s="9" t="n">
        <x:v>48.5</x:v>
      </x:c>
      <x:c r="C3" s="8" t="inlineStr">
        <x:is>
          <x:t xml:space="preserve">Starting bowl quantity</x:t>
        </x:is>
      </x:c>
    </x:row>
    <x:row r="4">
      <x:c r="A4" s="8" t="inlineStr">
        <x:is>
          <x:t xml:space="preserve">Restock Threshold (g)</x:t>
        </x:is>
      </x:c>
      <x:c r="B4" s="9" t="n">
        <x:v>20</x:v>
      </x:c>
      <x:c r="C4" s="8" t="inlineStr">
        <x:is>
          <x:t xml:space="preserve">Stock threshold for warnings</x:t>
        </x:is>
      </x:c>
    </x:row>
    <x:row r="5">
      <x:c r="A5" s="8" t="inlineStr">
        <x:is>
          <x:t xml:space="preserve">Gewinnanteil Morris (%)</x:t>
        </x:is>
      </x:c>
      <x:c r="B5" s="9" t="n">
        <x:v>0.5</x:v>
      </x:c>
      <x:c r="C5" s="8" t="inlineStr">
        <x:is>
          <x:t xml:space="preserve">Profit share for Morris</x:t>
        </x:is>
      </x:c>
    </x:row>
    <x:row r="6">
      <x:c r="A6" s="8" t="inlineStr">
        <x:is>
          <x:t xml:space="preserve">Gewinnanteil Boryana (%)</x:t>
        </x:is>
      </x:c>
      <x:c r="B6" s="9" t="n">
        <x:v>0.5</x:v>
      </x:c>
      <x:c r="C6" s="8" t="inlineStr">
        <x:is>
          <x:t xml:space="preserve">Profit share for Boryana</x:t>
        </x:is>
      </x:c>
    </x:row>
    <x:row r="7">
      <x:c r="A7" s="8" t="inlineStr">
        <x:is>
          <x:t xml:space="preserve">Currency</x:t>
        </x:is>
      </x:c>
      <x:c r="B7" s="9" t="inlineStr">
        <x:is>
          <x:t xml:space="preserve">CHF</x:t>
        </x:is>
      </x:c>
      <x:c r="C7" s="8" t="inlineStr">
        <x:is>
          <x:t xml:space="preserve">Currency used</x:t>
        </x:is>
      </x:c>
    </x:row>
  </x:sheetData>
  <x:pageMargins left="0.7" right="0.7" top="0.75" bottom="0.75" header="0.3" footer="0.3"/>
  <x:legacyDrawing xmlns:r="http://schemas.openxmlformats.org/officeDocument/2006/relationships" r:id="Ra427c698eb0a4bf5"/>
</x:worksheet>
</file>

<file path=xl/worksheets/sheet4.xml><?xml version="1.0" encoding="utf-8"?>
<x:worksheet xmlns:x="http://schemas.openxmlformats.org/spreadsheetml/2006/main">
  <x:sheetFormatPr baseColWidth="8" defaultRowHeight="15"/>
  <x:cols>
    <x:col min="1" max="1" width="12" customWidth="1"/>
    <x:col min="2" max="2" width="12" customWidth="1"/>
    <x:col min="3" max="3" width="10" customWidth="1"/>
    <x:col min="4" max="4" width="20" customWidth="1"/>
    <x:col min="5" max="5" width="16" customWidth="1"/>
    <x:col min="6" max="6" width="14" customWidth="1"/>
    <x:col min="7" max="7" width="14" customWidth="1"/>
    <x:col min="8" max="8" width="14" customWidth="1"/>
    <x:col min="9" max="9" width="14" customWidth="1"/>
    <x:col min="10" max="10" width="14" customWidth="1"/>
    <x:col min="11" max="11" width="18" customWidth="1"/>
    <x:col min="12" max="12" width="18" customWidth="1"/>
    <x:col min="13" max="13" width="16" customWidth="1"/>
    <x:col min="14" max="14" width="14" customWidth="1"/>
    <x:col min="15" max="15" width="18" customWidth="1"/>
    <x:col min="16" max="16" width="18" customWidth="1"/>
    <x:col min="17" max="17" width="16" customWidth="1"/>
    <x:col min="18" max="18" width="16" customWidth="1"/>
    <x:col min="19" max="19" width="14" customWidth="1"/>
    <x:col min="20" max="20" width="16" customWidth="1"/>
    <x:col min="21" max="21" width="16" customWidth="1"/>
    <x:col min="22" max="22" width="16" customWidth="1"/>
    <x:col min="23" max="23" width="18" customWidth="1"/>
    <x:col min="24" max="24" width="16" customWidth="1"/>
    <x:col min="25" max="25" width="22" customWidth="1"/>
  </x:cols>
  <x:sheetData>
    <x:row r="1">
      <x:c r="A1" s="10" t="inlineStr">
        <x:is>
          <x:t xml:space="preserve">Run ID</x:t>
        </x:is>
      </x:c>
      <x:c r="B1" s="10" t="inlineStr">
        <x:is>
          <x:t xml:space="preserve">Date</x:t>
        </x:is>
      </x:c>
      <x:c r="C1" s="10" t="inlineStr">
        <x:is>
          <x:t xml:space="preserve">Month</x:t>
        </x:is>
      </x:c>
      <x:c r="D1" s="10" t="inlineStr">
        <x:is>
          <x:t xml:space="preserve">Customer Name</x:t>
        </x:is>
      </x:c>
      <x:c r="E1" s="10" t="inlineStr">
        <x:is>
          <x:t xml:space="preserve">Transaction Type</x:t>
        </x:is>
      </x:c>
      <x:c r="F1" s="10" t="inlineStr">
        <x:is>
          <x:t xml:space="preserve">Payment Status</x:t>
        </x:is>
      </x:c>
      <x:c r="G1" s="10" t="inlineStr">
        <x:is>
          <x:t xml:space="preserve">Payment Method</x:t>
        </x:is>
      </x:c>
      <x:c r="H1" s="10" t="inlineStr">
        <x:is>
          <x:t xml:space="preserve">Quantity Sold (g)</x:t>
        </x:is>
      </x:c>
      <x:c r="I1" s="10" t="inlineStr">
        <x:is>
          <x:t xml:space="preserve">Price per g (CHF)</x:t>
        </x:is>
      </x:c>
      <x:c r="J1" s="10" t="inlineStr">
        <x:is>
          <x:t xml:space="preserve">Expenses (CHF)</x:t>
        </x:is>
      </x:c>
      <x:c r="K1" s="10" t="inlineStr">
        <x:is>
          <x:t xml:space="preserve">Morris Consumption (g)</x:t>
        </x:is>
      </x:c>
      <x:c r="L1" s="10" t="inlineStr">
        <x:is>
          <x:t xml:space="preserve">Boryana Consumption (g)</x:t>
        </x:is>
      </x:c>
      <x:c r="M1" s="10" t="inlineStr">
        <x:is>
          <x:t xml:space="preserve">Total Quantity Out (g)</x:t>
        </x:is>
      </x:c>
      <x:c r="N1" s="10" t="inlineStr">
        <x:is>
          <x:t xml:space="preserve">Base Cost (CHF)</x:t>
        </x:is>
      </x:c>
      <x:c r="O1" s="10" t="inlineStr">
        <x:is>
          <x:t xml:space="preserve">Morris Internal Debt (CHF)</x:t>
        </x:is>
      </x:c>
      <x:c r="P1" s="10" t="inlineStr">
        <x:is>
          <x:t xml:space="preserve">Boryana Internal Debt (CHF)</x:t>
        </x:is>
      </x:c>
      <x:c r="Q1" s="10" t="inlineStr">
        <x:is>
          <x:t xml:space="preserve">Gross Revenue (CHF)</x:t>
        </x:is>
      </x:c>
      <x:c r="R1" s="10" t="inlineStr">
        <x:is>
          <x:t xml:space="preserve">Profit Over Base (CHF)</x:t>
        </x:is>
      </x:c>
      <x:c r="S1" s="10" t="inlineStr">
        <x:is>
          <x:t xml:space="preserve">Net Profit (CHF)</x:t>
        </x:is>
      </x:c>
      <x:c r="T1" s="10" t="inlineStr">
        <x:is>
          <x:t xml:space="preserve">Profit Morris (CHF)</x:t>
        </x:is>
      </x:c>
      <x:c r="U1" s="10" t="inlineStr">
        <x:is>
          <x:t xml:space="preserve">Profit Boryana (CHF)</x:t>
        </x:is>
      </x:c>
      <x:c r="V1" s="10" t="inlineStr">
        <x:is>
          <x:t xml:space="preserve">Payment Received (CHF) [INPUT]</x:t>
        </x:is>
      </x:c>
      <x:c r="W1" s="10" t="inlineStr">
        <x:is>
          <x:t xml:space="preserve">Outstanding Customer Debt (CHF)</x:t>
        </x:is>
      </x:c>
      <x:c r="X1" s="10" t="inlineStr">
        <x:is>
          <x:t xml:space="preserve">Inventory Warning</x:t>
        </x:is>
      </x:c>
      <x:c r="Y1" s="10" t="inlineStr">
        <x:is>
          <x:t xml:space="preserve">Comments</x:t>
        </x:is>
      </x:c>
    </x:row>
    <x:row r="2">
      <x:c r="A2" s="11" t="str">
        <x:f>"RUN-"&amp;TEXT(1,"000")</x:f>
        <x:v>RUN-001</x:v>
      </x:c>
      <x:c r="B2" s="12" t="n">
        <x:v>46087</x:v>
      </x:c>
      <x:c r="C2" s="11">
        <x:f>IF(B2&lt;&gt;"",MONTH(B2),"")</x:f>
        <x:v>3</x:v>
      </x:c>
      <x:c r="D2" s="13" t="inlineStr">
        <x:is>
          <x:t xml:space="preserve">Zahnarzt</x:t>
        </x:is>
      </x:c>
      <x:c r="E2" s="13" t="inlineStr">
        <x:is>
          <x:t xml:space="preserve">Sale</x:t>
        </x:is>
      </x:c>
      <x:c r="F2" s="13" t="inlineStr">
        <x:is>
          <x:t xml:space="preserve">Paid</x:t>
        </x:is>
      </x:c>
      <x:c r="G2" s="13" t="inlineStr">
        <x:is>
          <x:t xml:space="preserve">Cash</x:t>
        </x:is>
      </x:c>
      <x:c r="H2" s="14" t="n">
        <x:v>10</x:v>
      </x:c>
      <x:c r="I2" s="14" t="n">
        <x:v>55</x:v>
      </x:c>
      <x:c r="J2" s="14" t="n">
        <x:v>0</x:v>
      </x:c>
      <x:c r="K2" s="14" t="n">
        <x:v>0</x:v>
      </x:c>
      <x:c r="L2" s="14" t="n">
        <x:v>0</x:v>
      </x:c>
      <x:c r="M2" s="15">
        <x:f>IFERROR(H2+K2+L2,0)</x:f>
        <x:v>10</x:v>
      </x:c>
      <x:c r="N2" s="16">
        <x:f>IFERROR(M2*Parameters!$B$2,0)</x:f>
        <x:v>350</x:v>
      </x:c>
      <x:c r="O2" s="16">
        <x:f>IFERROR(K2*Parameters!$B$2,0)</x:f>
        <x:v>0</x:v>
      </x:c>
      <x:c r="P2" s="16">
        <x:f>IFERROR(L2*Parameters!$B$2,0)</x:f>
        <x:v>0</x:v>
      </x:c>
      <x:c r="Q2" s="16">
        <x:f>IFERROR(H2*I2,0)</x:f>
        <x:v>550</x:v>
      </x:c>
      <x:c r="R2" s="16">
        <x:f>IFERROR(Q2-(H2*Parameters!$B$2),0)</x:f>
        <x:v>200</x:v>
      </x:c>
      <x:c r="S2" s="16">
        <x:f>IFERROR(R2-J2,0)</x:f>
        <x:v>200</x:v>
      </x:c>
      <x:c r="T2" s="16">
        <x:f>IFERROR(S2*Parameters!$B$5,0)</x:f>
        <x:v>100</x:v>
      </x:c>
      <x:c r="U2" s="16">
        <x:f>IFERROR(S2*Parameters!$B$6,0)</x:f>
        <x:v>100</x:v>
      </x:c>
      <x:c r="V2" s="13" t="n">
        <x:v>550</x:v>
      </x:c>
      <x:c r="W2" s="15">
        <x:f>IFERROR(MAX(0,Q2-V2),0)</x:f>
        <x:v>0</x:v>
      </x:c>
      <x:c r="X2" s="11" t="str">
        <x:f>IF((Parameters!$B$3-SUM($M$2:M2))&lt;Parameters!$B$4,"Warning","OK")</x:f>
        <x:v>OK</x:v>
      </x:c>
      <x:c r="Y2" s="13" t="inlineStr">
        <x:is>
          <x:t xml:space="preserve">Known sale; fully received</x:t>
        </x:is>
      </x:c>
    </x:row>
    <x:row r="3">
      <x:c r="A3" s="11" t="str">
        <x:f>"RUN-"&amp;TEXT(2,"000")</x:f>
        <x:v>RUN-002</x:v>
      </x:c>
      <x:c r="B3" s="12" t="n">
        <x:v>46087</x:v>
      </x:c>
      <x:c r="C3" s="11">
        <x:f>IF(B3&lt;&gt;"",MONTH(B3),"")</x:f>
        <x:v>3</x:v>
      </x:c>
      <x:c r="D3" s="13" t="inlineStr">
        <x:is>
          <x:t xml:space="preserve">Sandro</x:t>
        </x:is>
      </x:c>
      <x:c r="E3" s="13" t="inlineStr">
        <x:is>
          <x:t xml:space="preserve">Sale</x:t>
        </x:is>
      </x:c>
      <x:c r="F3" s="13" t="inlineStr">
        <x:is>
          <x:t xml:space="preserve">Paid</x:t>
        </x:is>
      </x:c>
      <x:c r="G3" s="13" t="inlineStr">
        <x:is>
          <x:t xml:space="preserve">Cash</x:t>
        </x:is>
      </x:c>
      <x:c r="H3" s="14" t="n">
        <x:v>5</x:v>
      </x:c>
      <x:c r="I3" s="14" t="n">
        <x:v>55</x:v>
      </x:c>
      <x:c r="J3" s="14" t="n">
        <x:v>0</x:v>
      </x:c>
      <x:c r="K3" s="14" t="n">
        <x:v>0</x:v>
      </x:c>
      <x:c r="L3" s="14" t="n">
        <x:v>0</x:v>
      </x:c>
      <x:c r="M3" s="15">
        <x:f>IFERROR(H3+K3+L3,0)</x:f>
        <x:v>5</x:v>
      </x:c>
      <x:c r="N3" s="16">
        <x:f>IFERROR(M3*Parameters!$B$2,0)</x:f>
        <x:v>175</x:v>
      </x:c>
      <x:c r="O3" s="16">
        <x:f>IFERROR(K3*Parameters!$B$2,0)</x:f>
        <x:v>0</x:v>
      </x:c>
      <x:c r="P3" s="16">
        <x:f>IFERROR(L3*Parameters!$B$2,0)</x:f>
        <x:v>0</x:v>
      </x:c>
      <x:c r="Q3" s="16">
        <x:f>IFERROR(H3*I3,0)</x:f>
        <x:v>275</x:v>
      </x:c>
      <x:c r="R3" s="16">
        <x:f>IFERROR(Q3-(H3*Parameters!$B$2),0)</x:f>
        <x:v>100</x:v>
      </x:c>
      <x:c r="S3" s="16">
        <x:f>IFERROR(R3-J3,0)</x:f>
        <x:v>100</x:v>
      </x:c>
      <x:c r="T3" s="16">
        <x:f>IFERROR(S3*Parameters!$B$5,0)</x:f>
        <x:v>50</x:v>
      </x:c>
      <x:c r="U3" s="16">
        <x:f>IFERROR(S3*Parameters!$B$6,0)</x:f>
        <x:v>50</x:v>
      </x:c>
      <x:c r="V3" s="13" t="n">
        <x:v>275</x:v>
      </x:c>
      <x:c r="W3" s="15">
        <x:f>IFERROR(MAX(0,Q3-V3),0)</x:f>
        <x:v>0</x:v>
      </x:c>
      <x:c r="X3" s="11" t="str">
        <x:f>IF((Parameters!$B$3-SUM($M$2:M3))&lt;Parameters!$B$4,"Warning","OK")</x:f>
        <x:v>OK</x:v>
      </x:c>
      <x:c r="Y3" s="13" t="inlineStr">
        <x:is>
          <x:t xml:space="preserve">Known sale; fully received</x:t>
        </x:is>
      </x:c>
    </x:row>
    <x:row r="4">
      <x:c r="A4" s="11" t="str">
        <x:f>"RUN-"&amp;TEXT(3,"000")</x:f>
        <x:v>RUN-003</x:v>
      </x:c>
      <x:c r="B4" s="12" t="n">
        <x:v>46087</x:v>
      </x:c>
      <x:c r="C4" s="11">
        <x:f>IF(B4&lt;&gt;"",MONTH(B4),"")</x:f>
        <x:v>3</x:v>
      </x:c>
      <x:c r="D4" s="13" t="inlineStr">
        <x:is>
          <x:t xml:space="preserve">Martin</x:t>
        </x:is>
      </x:c>
      <x:c r="E4" s="13" t="inlineStr">
        <x:is>
          <x:t xml:space="preserve">Sale</x:t>
        </x:is>
      </x:c>
      <x:c r="F4" s="13" t="inlineStr">
        <x:is>
          <x:t xml:space="preserve">Paid</x:t>
        </x:is>
      </x:c>
      <x:c r="G4" s="13" t="inlineStr">
        <x:is>
          <x:t xml:space="preserve">Cash</x:t>
        </x:is>
      </x:c>
      <x:c r="H4" s="14" t="n">
        <x:v>2</x:v>
      </x:c>
      <x:c r="I4" s="14" t="n">
        <x:v>50</x:v>
      </x:c>
      <x:c r="J4" s="14" t="n">
        <x:v>0</x:v>
      </x:c>
      <x:c r="K4" s="14" t="n">
        <x:v>0</x:v>
      </x:c>
      <x:c r="L4" s="14" t="n">
        <x:v>0</x:v>
      </x:c>
      <x:c r="M4" s="15">
        <x:f>IFERROR(H4+K4+L4,0)</x:f>
        <x:v>2</x:v>
      </x:c>
      <x:c r="N4" s="16">
        <x:f>IFERROR(M4*Parameters!$B$2,0)</x:f>
        <x:v>70</x:v>
      </x:c>
      <x:c r="O4" s="16">
        <x:f>IFERROR(K4*Parameters!$B$2,0)</x:f>
        <x:v>0</x:v>
      </x:c>
      <x:c r="P4" s="16">
        <x:f>IFERROR(L4*Parameters!$B$2,0)</x:f>
        <x:v>0</x:v>
      </x:c>
      <x:c r="Q4" s="16">
        <x:f>IFERROR(H4*I4,0)</x:f>
        <x:v>100</x:v>
      </x:c>
      <x:c r="R4" s="16">
        <x:f>IFERROR(Q4-(H4*Parameters!$B$2),0)</x:f>
        <x:v>30</x:v>
      </x:c>
      <x:c r="S4" s="16">
        <x:f>IFERROR(R4-J4,0)</x:f>
        <x:v>30</x:v>
      </x:c>
      <x:c r="T4" s="16">
        <x:f>IFERROR(S4*Parameters!$B$5,0)</x:f>
        <x:v>15</x:v>
      </x:c>
      <x:c r="U4" s="16">
        <x:f>IFERROR(S4*Parameters!$B$6,0)</x:f>
        <x:v>15</x:v>
      </x:c>
      <x:c r="V4" s="13" t="n">
        <x:v>100</x:v>
      </x:c>
      <x:c r="W4" s="15">
        <x:f>IFERROR(MAX(0,Q4-V4),0)</x:f>
        <x:v>0</x:v>
      </x:c>
      <x:c r="X4" s="11" t="str">
        <x:f>IF((Parameters!$B$3-SUM($M$2:M4))&lt;Parameters!$B$4,"Warning","OK")</x:f>
        <x:v>OK</x:v>
      </x:c>
      <x:c r="Y4" s="13" t="inlineStr">
        <x:is>
          <x:t xml:space="preserve">Known sale; fully received</x:t>
        </x:is>
      </x:c>
    </x:row>
    <x:row r="5">
      <x:c r="A5" s="11" t="str">
        <x:f>"RUN-"&amp;TEXT(4,"000")</x:f>
        <x:v>RUN-004</x:v>
      </x:c>
      <x:c r="B5" s="12" t="n">
        <x:v>46087</x:v>
      </x:c>
      <x:c r="C5" s="11">
        <x:f>IF(B5&lt;&gt;"",MONTH(B5),"")</x:f>
        <x:v>3</x:v>
      </x:c>
      <x:c r="D5" s="13" t="inlineStr">
        <x:is>
          <x:t xml:space="preserve">Ruben</x:t>
        </x:is>
      </x:c>
      <x:c r="E5" s="13" t="inlineStr">
        <x:is>
          <x:t xml:space="preserve">Sale</x:t>
        </x:is>
      </x:c>
      <x:c r="F5" s="13" t="inlineStr">
        <x:is>
          <x:t xml:space="preserve">Partial</x:t>
        </x:is>
      </x:c>
      <x:c r="G5" s="13" t="inlineStr">
        <x:is>
          <x:t xml:space="preserve">Cash</x:t>
        </x:is>
      </x:c>
      <x:c r="H5" s="14" t="n">
        <x:v>5</x:v>
      </x:c>
      <x:c r="I5" s="14" t="n">
        <x:v>55</x:v>
      </x:c>
      <x:c r="J5" s="14" t="n">
        <x:v>0</x:v>
      </x:c>
      <x:c r="K5" s="14" t="n">
        <x:v>0</x:v>
      </x:c>
      <x:c r="L5" s="14" t="n">
        <x:v>0</x:v>
      </x:c>
      <x:c r="M5" s="15">
        <x:f>IFERROR(H5+K5+L5,0)</x:f>
        <x:v>5</x:v>
      </x:c>
      <x:c r="N5" s="16">
        <x:f>IFERROR(M5*Parameters!$B$2,0)</x:f>
        <x:v>175</x:v>
      </x:c>
      <x:c r="O5" s="16">
        <x:f>IFERROR(K5*Parameters!$B$2,0)</x:f>
        <x:v>0</x:v>
      </x:c>
      <x:c r="P5" s="16">
        <x:f>IFERROR(L5*Parameters!$B$2,0)</x:f>
        <x:v>0</x:v>
      </x:c>
      <x:c r="Q5" s="16">
        <x:f>IFERROR(H5*I5,0)</x:f>
        <x:v>275</x:v>
      </x:c>
      <x:c r="R5" s="16">
        <x:f>IFERROR(Q5-(H5*Parameters!$B$2),0)</x:f>
        <x:v>100</x:v>
      </x:c>
      <x:c r="S5" s="16">
        <x:f>IFERROR(R5-J5,0)</x:f>
        <x:v>100</x:v>
      </x:c>
      <x:c r="T5" s="16">
        <x:f>IFERROR(S5*Parameters!$B$5,0)</x:f>
        <x:v>50</x:v>
      </x:c>
      <x:c r="U5" s="16">
        <x:f>IFERROR(S5*Parameters!$B$6,0)</x:f>
        <x:v>50</x:v>
      </x:c>
      <x:c r="V5" s="13" t="n">
        <x:v>75</x:v>
      </x:c>
      <x:c r="W5" s="15">
        <x:f>IFERROR(MAX(0,Q5-V5),0)</x:f>
        <x:v>200</x:v>
      </x:c>
      <x:c r="X5" s="11" t="str">
        <x:f>IF((Parameters!$B$3-SUM($M$2:M5))&lt;Parameters!$B$4,"Warning","OK")</x:f>
        <x:v>OK</x:v>
      </x:c>
      <x:c r="Y5" s="13" t="inlineStr">
        <x:is>
          <x:t xml:space="preserve">Known sale; 200 CHF still open</x:t>
        </x:is>
      </x:c>
    </x:row>
    <x:row r="6">
      <x:c r="A6" s="11" t="str">
        <x:f>"RUN-"&amp;TEXT(5,"000")</x:f>
        <x:v>RUN-005</x:v>
      </x:c>
      <x:c r="B6" s="12" t="n">
        <x:v>46087</x:v>
      </x:c>
      <x:c r="C6" s="11">
        <x:f>IF(B6&lt;&gt;"",MONTH(B6),"")</x:f>
        <x:v>3</x:v>
      </x:c>
      <x:c r="D6" s="13" t="inlineStr">
        <x:is>
          <x:t xml:space="preserve">Morris (Internal)</x:t>
        </x:is>
      </x:c>
      <x:c r="E6" s="13" t="inlineStr">
        <x:is>
          <x:t xml:space="preserve">Own</x:t>
        </x:is>
      </x:c>
      <x:c r="F6" s="13" t="inlineStr">
        <x:is>
          <x:t xml:space="preserve">Open</x:t>
        </x:is>
      </x:c>
      <x:c r="G6" s="13" t="inlineStr">
        <x:is>
          <x:t xml:space="preserve">Other</x:t>
        </x:is>
      </x:c>
      <x:c r="H6" s="14" t="n">
        <x:v>0</x:v>
      </x:c>
      <x:c r="I6" s="14" t="n">
        <x:v>35</x:v>
      </x:c>
      <x:c r="J6" s="14" t="n">
        <x:v>0</x:v>
      </x:c>
      <x:c r="K6" s="14" t="n">
        <x:v>8.5</x:v>
      </x:c>
      <x:c r="L6" s="14" t="n">
        <x:v>0</x:v>
      </x:c>
      <x:c r="M6" s="15">
        <x:f>IFERROR(H6+K6+L6,0)</x:f>
        <x:v>8.5</x:v>
      </x:c>
      <x:c r="N6" s="16">
        <x:f>IFERROR(M6*Parameters!$B$2,0)</x:f>
        <x:v>297.5</x:v>
      </x:c>
      <x:c r="O6" s="16">
        <x:f>IFERROR(K6*Parameters!$B$2,0)</x:f>
        <x:v>297.5</x:v>
      </x:c>
      <x:c r="P6" s="16">
        <x:f>IFERROR(L6*Parameters!$B$2,0)</x:f>
        <x:v>0</x:v>
      </x:c>
      <x:c r="Q6" s="16">
        <x:f>IFERROR(H6*I6,0)</x:f>
        <x:v>0</x:v>
      </x:c>
      <x:c r="R6" s="16">
        <x:f>IFERROR(Q6-(H6*Parameters!$B$2),0)</x:f>
        <x:v>0</x:v>
      </x:c>
      <x:c r="S6" s="16">
        <x:f>IFERROR(R6-J6,0)</x:f>
        <x:v>0</x:v>
      </x:c>
      <x:c r="T6" s="16">
        <x:f>IFERROR(S6*Parameters!$B$5,0)</x:f>
        <x:v>0</x:v>
      </x:c>
      <x:c r="U6" s="16">
        <x:f>IFERROR(S6*Parameters!$B$6,0)</x:f>
        <x:v>0</x:v>
      </x:c>
      <x:c r="V6" s="13" t="n">
        <x:v>0</x:v>
      </x:c>
      <x:c r="W6" s="15">
        <x:f>IFERROR(MAX(0,Q6-V6),0)</x:f>
        <x:v>0</x:v>
      </x:c>
      <x:c r="X6" s="11" t="str">
        <x:f>IF((Parameters!$B$3-SUM($M$2:M6))&lt;Parameters!$B$4,"Warning","OK")</x:f>
        <x:v>Warning</x:v>
      </x:c>
      <x:c r="Y6" s="13" t="inlineStr">
        <x:is>
          <x:t xml:space="preserve">Internal purchase at base only; total Morris own quantity now 8.5g</x:t>
        </x:is>
      </x:c>
    </x:row>
    <x:row r="7">
      <x:c r="A7" s="11" t="str">
        <x:f>"RUN-"&amp;TEXT(6,"000")</x:f>
        <x:v>RUN-006</x:v>
      </x:c>
      <x:c r="B7" s="12" t="n">
        <x:v>46087</x:v>
      </x:c>
      <x:c r="C7" s="11">
        <x:f>IF(B7&lt;&gt;"",MONTH(B7),"")</x:f>
        <x:v>3</x:v>
      </x:c>
      <x:c r="D7" s="13" t="inlineStr">
        <x:is>
          <x:t xml:space="preserve">Boryana (Internal)</x:t>
        </x:is>
      </x:c>
      <x:c r="E7" s="13" t="inlineStr">
        <x:is>
          <x:t xml:space="preserve">Own</x:t>
        </x:is>
      </x:c>
      <x:c r="F7" s="13" t="inlineStr">
        <x:is>
          <x:t xml:space="preserve">Open</x:t>
        </x:is>
      </x:c>
      <x:c r="G7" s="13" t="inlineStr">
        <x:is>
          <x:t xml:space="preserve">Other</x:t>
        </x:is>
      </x:c>
      <x:c r="H7" s="14" t="n">
        <x:v>0</x:v>
      </x:c>
      <x:c r="I7" s="14" t="n">
        <x:v>35</x:v>
      </x:c>
      <x:c r="J7" s="14" t="n">
        <x:v>0</x:v>
      </x:c>
      <x:c r="K7" s="14" t="n">
        <x:v>0</x:v>
      </x:c>
      <x:c r="L7" s="14" t="n">
        <x:v>0</x:v>
      </x:c>
      <x:c r="M7" s="15">
        <x:f>IFERROR(H7+K7+L7,0)</x:f>
        <x:v>0</x:v>
      </x:c>
      <x:c r="N7" s="16">
        <x:f>IFERROR(M7*Parameters!$B$2,0)</x:f>
        <x:v>0</x:v>
      </x:c>
      <x:c r="O7" s="16">
        <x:f>IFERROR(K7*Parameters!$B$2,0)</x:f>
        <x:v>0</x:v>
      </x:c>
      <x:c r="P7" s="16">
        <x:f>IFERROR(L7*Parameters!$B$2,0)</x:f>
        <x:v>0</x:v>
      </x:c>
      <x:c r="Q7" s="16">
        <x:f>IFERROR(H7*I7,0)</x:f>
        <x:v>0</x:v>
      </x:c>
      <x:c r="R7" s="16">
        <x:f>IFERROR(Q7-(H7*Parameters!$B$2),0)</x:f>
        <x:v>0</x:v>
      </x:c>
      <x:c r="S7" s="16">
        <x:f>IFERROR(R7-J7,0)</x:f>
        <x:v>0</x:v>
      </x:c>
      <x:c r="T7" s="16">
        <x:f>IFERROR(S7*Parameters!$B$5,0)</x:f>
        <x:v>0</x:v>
      </x:c>
      <x:c r="U7" s="16">
        <x:f>IFERROR(S7*Parameters!$B$6,0)</x:f>
        <x:v>0</x:v>
      </x:c>
      <x:c r="V7" s="13" t="n">
        <x:v>0</x:v>
      </x:c>
      <x:c r="W7" s="15">
        <x:f>IFERROR(MAX(0,Q7-V7),0)</x:f>
        <x:v>0</x:v>
      </x:c>
      <x:c r="X7" s="11" t="str">
        <x:f>IF((Parameters!$B$3-SUM($M$2:M7))&lt;Parameters!$B$4,"Warning","OK")</x:f>
        <x:v>Warning</x:v>
      </x:c>
      <x:c r="Y7" s="13" t="inlineStr">
        <x:is>
          <x:t xml:space="preserve">Explicit zero line for visibility</x:t>
        </x:is>
      </x:c>
    </x:row>
    <x:row r="8">
      <x:c r="A8" s="11" t="str">
        <x:f>"RUN-"&amp;TEXT(7,"000")</x:f>
        <x:v>RUN-007</x:v>
      </x:c>
      <x:c r="B8" s="12" t="n"/>
      <x:c r="C8" s="11">
        <x:f>IF(B8&lt;&gt;"",MONTH(B8),"")</x:f>
      </x:c>
      <x:c r="D8" s="13" t="n"/>
      <x:c r="E8" s="13" t="n"/>
      <x:c r="F8" s="13" t="n"/>
      <x:c r="G8" s="13" t="n"/>
      <x:c r="H8" s="14" t="n"/>
      <x:c r="I8" s="14" t="n"/>
      <x:c r="J8" s="14" t="n"/>
      <x:c r="K8" s="14" t="n"/>
      <x:c r="L8" s="14" t="n"/>
      <x:c r="M8" s="15">
        <x:f>IFERROR(H8+K8+L8,0)</x:f>
        <x:v>0</x:v>
      </x:c>
      <x:c r="N8" s="16">
        <x:f>IFERROR(M8*Parameters!$B$2,0)</x:f>
        <x:v>0</x:v>
      </x:c>
      <x:c r="O8" s="16">
        <x:f>IFERROR(K8*Parameters!$B$2,0)</x:f>
        <x:v>0</x:v>
      </x:c>
      <x:c r="P8" s="16">
        <x:f>IFERROR(L8*Parameters!$B$2,0)</x:f>
        <x:v>0</x:v>
      </x:c>
      <x:c r="Q8" s="16">
        <x:f>IFERROR(H8*I8,0)</x:f>
        <x:v>0</x:v>
      </x:c>
      <x:c r="R8" s="16">
        <x:f>IFERROR(Q8-(H8*Parameters!$B$2),0)</x:f>
        <x:v>0</x:v>
      </x:c>
      <x:c r="S8" s="16">
        <x:f>IFERROR(R8-J8,0)</x:f>
        <x:v>0</x:v>
      </x:c>
      <x:c r="T8" s="16">
        <x:f>IFERROR(S8*Parameters!$B$5,0)</x:f>
        <x:v>0</x:v>
      </x:c>
      <x:c r="U8" s="16">
        <x:f>IFERROR(S8*Parameters!$B$6,0)</x:f>
        <x:v>0</x:v>
      </x:c>
      <x:c r="V8" s="13" t="n"/>
      <x:c r="W8" s="15">
        <x:f>IFERROR(MAX(0,Q8-V8),0)</x:f>
        <x:v>0</x:v>
      </x:c>
      <x:c r="X8" s="11" t="str">
        <x:f>IF((Parameters!$B$3-SUM($M$2:M8))&lt;Parameters!$B$4,"Warning","OK")</x:f>
        <x:v>Warning</x:v>
      </x:c>
      <x:c r="Y8" s="13" t="n"/>
    </x:row>
    <x:row r="9">
      <x:c r="A9" s="11" t="str">
        <x:f>"RUN-"&amp;TEXT(8,"000")</x:f>
        <x:v>RUN-008</x:v>
      </x:c>
      <x:c r="B9" s="12" t="n"/>
      <x:c r="C9" s="11">
        <x:f>IF(B9&lt;&gt;"",MONTH(B9),"")</x:f>
      </x:c>
      <x:c r="D9" s="13" t="n"/>
      <x:c r="E9" s="13" t="n"/>
      <x:c r="F9" s="13" t="n"/>
      <x:c r="G9" s="13" t="n"/>
      <x:c r="H9" s="14" t="n"/>
      <x:c r="I9" s="14" t="n"/>
      <x:c r="J9" s="14" t="n"/>
      <x:c r="K9" s="14" t="n"/>
      <x:c r="L9" s="14" t="n"/>
      <x:c r="M9" s="15">
        <x:f>IFERROR(H9+K9+L9,0)</x:f>
        <x:v>0</x:v>
      </x:c>
      <x:c r="N9" s="16">
        <x:f>IFERROR(M9*Parameters!$B$2,0)</x:f>
        <x:v>0</x:v>
      </x:c>
      <x:c r="O9" s="16">
        <x:f>IFERROR(K9*Parameters!$B$2,0)</x:f>
        <x:v>0</x:v>
      </x:c>
      <x:c r="P9" s="16">
        <x:f>IFERROR(L9*Parameters!$B$2,0)</x:f>
        <x:v>0</x:v>
      </x:c>
      <x:c r="Q9" s="16">
        <x:f>IFERROR(H9*I9,0)</x:f>
        <x:v>0</x:v>
      </x:c>
      <x:c r="R9" s="16">
        <x:f>IFERROR(Q9-(H9*Parameters!$B$2),0)</x:f>
        <x:v>0</x:v>
      </x:c>
      <x:c r="S9" s="16">
        <x:f>IFERROR(R9-J9,0)</x:f>
        <x:v>0</x:v>
      </x:c>
      <x:c r="T9" s="16">
        <x:f>IFERROR(S9*Parameters!$B$5,0)</x:f>
        <x:v>0</x:v>
      </x:c>
      <x:c r="U9" s="16">
        <x:f>IFERROR(S9*Parameters!$B$6,0)</x:f>
        <x:v>0</x:v>
      </x:c>
      <x:c r="V9" s="13" t="n"/>
      <x:c r="W9" s="15">
        <x:f>IFERROR(MAX(0,Q9-V9),0)</x:f>
        <x:v>0</x:v>
      </x:c>
      <x:c r="X9" s="11" t="str">
        <x:f>IF((Parameters!$B$3-SUM($M$2:M9))&lt;Parameters!$B$4,"Warning","OK")</x:f>
        <x:v>Warning</x:v>
      </x:c>
      <x:c r="Y9" s="13" t="n"/>
    </x:row>
    <x:row r="10">
      <x:c r="A10" s="11" t="str">
        <x:f>"RUN-"&amp;TEXT(9,"000")</x:f>
        <x:v>RUN-009</x:v>
      </x:c>
      <x:c r="B10" s="12" t="n"/>
      <x:c r="C10" s="11">
        <x:f>IF(B10&lt;&gt;"",MONTH(B10),"")</x:f>
      </x:c>
      <x:c r="D10" s="13" t="n"/>
      <x:c r="E10" s="13" t="n"/>
      <x:c r="F10" s="13" t="n"/>
      <x:c r="G10" s="13" t="n"/>
      <x:c r="H10" s="14" t="n"/>
      <x:c r="I10" s="14" t="n"/>
      <x:c r="J10" s="14" t="n"/>
      <x:c r="K10" s="14" t="n"/>
      <x:c r="L10" s="14" t="n"/>
      <x:c r="M10" s="15">
        <x:f>IFERROR(H10+K10+L10,0)</x:f>
        <x:v>0</x:v>
      </x:c>
      <x:c r="N10" s="16">
        <x:f>IFERROR(M10*Parameters!$B$2,0)</x:f>
        <x:v>0</x:v>
      </x:c>
      <x:c r="O10" s="16">
        <x:f>IFERROR(K10*Parameters!$B$2,0)</x:f>
        <x:v>0</x:v>
      </x:c>
      <x:c r="P10" s="16">
        <x:f>IFERROR(L10*Parameters!$B$2,0)</x:f>
        <x:v>0</x:v>
      </x:c>
      <x:c r="Q10" s="16">
        <x:f>IFERROR(H10*I10,0)</x:f>
        <x:v>0</x:v>
      </x:c>
      <x:c r="R10" s="16">
        <x:f>IFERROR(Q10-(H10*Parameters!$B$2),0)</x:f>
        <x:v>0</x:v>
      </x:c>
      <x:c r="S10" s="16">
        <x:f>IFERROR(R10-J10,0)</x:f>
        <x:v>0</x:v>
      </x:c>
      <x:c r="T10" s="16">
        <x:f>IFERROR(S10*Parameters!$B$5,0)</x:f>
        <x:v>0</x:v>
      </x:c>
      <x:c r="U10" s="16">
        <x:f>IFERROR(S10*Parameters!$B$6,0)</x:f>
        <x:v>0</x:v>
      </x:c>
      <x:c r="V10" s="13" t="n"/>
      <x:c r="W10" s="15">
        <x:f>IFERROR(MAX(0,Q10-V10),0)</x:f>
        <x:v>0</x:v>
      </x:c>
      <x:c r="X10" s="11" t="str">
        <x:f>IF((Parameters!$B$3-SUM($M$2:M10))&lt;Parameters!$B$4,"Warning","OK")</x:f>
        <x:v>Warning</x:v>
      </x:c>
      <x:c r="Y10" s="13" t="n"/>
    </x:row>
    <x:row r="11">
      <x:c r="A11" s="11" t="str">
        <x:f>"RUN-"&amp;TEXT(10,"000")</x:f>
        <x:v>RUN-010</x:v>
      </x:c>
      <x:c r="B11" s="12" t="n"/>
      <x:c r="C11" s="11">
        <x:f>IF(B11&lt;&gt;"",MONTH(B11),"")</x:f>
      </x:c>
      <x:c r="D11" s="13" t="n"/>
      <x:c r="E11" s="13" t="n"/>
      <x:c r="F11" s="13" t="n"/>
      <x:c r="G11" s="13" t="n"/>
      <x:c r="H11" s="14" t="n"/>
      <x:c r="I11" s="14" t="n"/>
      <x:c r="J11" s="14" t="n"/>
      <x:c r="K11" s="14" t="n"/>
      <x:c r="L11" s="14" t="n"/>
      <x:c r="M11" s="15">
        <x:f>IFERROR(H11+K11+L11,0)</x:f>
        <x:v>0</x:v>
      </x:c>
      <x:c r="N11" s="16">
        <x:f>IFERROR(M11*Parameters!$B$2,0)</x:f>
        <x:v>0</x:v>
      </x:c>
      <x:c r="O11" s="16">
        <x:f>IFERROR(K11*Parameters!$B$2,0)</x:f>
        <x:v>0</x:v>
      </x:c>
      <x:c r="P11" s="16">
        <x:f>IFERROR(L11*Parameters!$B$2,0)</x:f>
        <x:v>0</x:v>
      </x:c>
      <x:c r="Q11" s="16">
        <x:f>IFERROR(H11*I11,0)</x:f>
        <x:v>0</x:v>
      </x:c>
      <x:c r="R11" s="16">
        <x:f>IFERROR(Q11-(H11*Parameters!$B$2),0)</x:f>
        <x:v>0</x:v>
      </x:c>
      <x:c r="S11" s="16">
        <x:f>IFERROR(R11-J11,0)</x:f>
        <x:v>0</x:v>
      </x:c>
      <x:c r="T11" s="16">
        <x:f>IFERROR(S11*Parameters!$B$5,0)</x:f>
        <x:v>0</x:v>
      </x:c>
      <x:c r="U11" s="16">
        <x:f>IFERROR(S11*Parameters!$B$6,0)</x:f>
        <x:v>0</x:v>
      </x:c>
      <x:c r="V11" s="13" t="n"/>
      <x:c r="W11" s="15">
        <x:f>IFERROR(MAX(0,Q11-V11),0)</x:f>
        <x:v>0</x:v>
      </x:c>
      <x:c r="X11" s="11" t="str">
        <x:f>IF((Parameters!$B$3-SUM($M$2:M11))&lt;Parameters!$B$4,"Warning","OK")</x:f>
        <x:v>Warning</x:v>
      </x:c>
      <x:c r="Y11" s="13" t="n"/>
    </x:row>
    <x:row r="12">
      <x:c r="A12" s="11" t="str">
        <x:f>"RUN-"&amp;TEXT(11,"000")</x:f>
        <x:v>RUN-011</x:v>
      </x:c>
      <x:c r="B12" s="12" t="n"/>
      <x:c r="C12" s="11">
        <x:f>IF(B12&lt;&gt;"",MONTH(B12),"")</x:f>
      </x:c>
      <x:c r="D12" s="13" t="n"/>
      <x:c r="E12" s="13" t="n"/>
      <x:c r="F12" s="13" t="n"/>
      <x:c r="G12" s="13" t="n"/>
      <x:c r="H12" s="14" t="n"/>
      <x:c r="I12" s="14" t="n"/>
      <x:c r="J12" s="14" t="n"/>
      <x:c r="K12" s="14" t="n"/>
      <x:c r="L12" s="14" t="n"/>
      <x:c r="M12" s="15">
        <x:f>IFERROR(H12+K12+L12,0)</x:f>
        <x:v>0</x:v>
      </x:c>
      <x:c r="N12" s="16">
        <x:f>IFERROR(M12*Parameters!$B$2,0)</x:f>
        <x:v>0</x:v>
      </x:c>
      <x:c r="O12" s="16">
        <x:f>IFERROR(K12*Parameters!$B$2,0)</x:f>
        <x:v>0</x:v>
      </x:c>
      <x:c r="P12" s="16">
        <x:f>IFERROR(L12*Parameters!$B$2,0)</x:f>
        <x:v>0</x:v>
      </x:c>
      <x:c r="Q12" s="16">
        <x:f>IFERROR(H12*I12,0)</x:f>
        <x:v>0</x:v>
      </x:c>
      <x:c r="R12" s="16">
        <x:f>IFERROR(Q12-(H12*Parameters!$B$2),0)</x:f>
        <x:v>0</x:v>
      </x:c>
      <x:c r="S12" s="16">
        <x:f>IFERROR(R12-J12,0)</x:f>
        <x:v>0</x:v>
      </x:c>
      <x:c r="T12" s="16">
        <x:f>IFERROR(S12*Parameters!$B$5,0)</x:f>
        <x:v>0</x:v>
      </x:c>
      <x:c r="U12" s="16">
        <x:f>IFERROR(S12*Parameters!$B$6,0)</x:f>
        <x:v>0</x:v>
      </x:c>
      <x:c r="V12" s="13" t="n"/>
      <x:c r="W12" s="15">
        <x:f>IFERROR(MAX(0,Q12-V12),0)</x:f>
        <x:v>0</x:v>
      </x:c>
      <x:c r="X12" s="11" t="str">
        <x:f>IF((Parameters!$B$3-SUM($M$2:M12))&lt;Parameters!$B$4,"Warning","OK")</x:f>
        <x:v>Warning</x:v>
      </x:c>
      <x:c r="Y12" s="13" t="n"/>
    </x:row>
    <x:row r="13">
      <x:c r="A13" s="11" t="str">
        <x:f>"RUN-"&amp;TEXT(12,"000")</x:f>
        <x:v>RUN-012</x:v>
      </x:c>
      <x:c r="B13" s="12" t="n"/>
      <x:c r="C13" s="11">
        <x:f>IF(B13&lt;&gt;"",MONTH(B13),"")</x:f>
      </x:c>
      <x:c r="D13" s="13" t="n"/>
      <x:c r="E13" s="13" t="n"/>
      <x:c r="F13" s="13" t="n"/>
      <x:c r="G13" s="13" t="n"/>
      <x:c r="H13" s="14" t="n"/>
      <x:c r="I13" s="14" t="n"/>
      <x:c r="J13" s="14" t="n"/>
      <x:c r="K13" s="14" t="n"/>
      <x:c r="L13" s="14" t="n"/>
      <x:c r="M13" s="15">
        <x:f>IFERROR(H13+K13+L13,0)</x:f>
        <x:v>0</x:v>
      </x:c>
      <x:c r="N13" s="16">
        <x:f>IFERROR(M13*Parameters!$B$2,0)</x:f>
        <x:v>0</x:v>
      </x:c>
      <x:c r="O13" s="16">
        <x:f>IFERROR(K13*Parameters!$B$2,0)</x:f>
        <x:v>0</x:v>
      </x:c>
      <x:c r="P13" s="16">
        <x:f>IFERROR(L13*Parameters!$B$2,0)</x:f>
        <x:v>0</x:v>
      </x:c>
      <x:c r="Q13" s="16">
        <x:f>IFERROR(H13*I13,0)</x:f>
        <x:v>0</x:v>
      </x:c>
      <x:c r="R13" s="16">
        <x:f>IFERROR(Q13-(H13*Parameters!$B$2),0)</x:f>
        <x:v>0</x:v>
      </x:c>
      <x:c r="S13" s="16">
        <x:f>IFERROR(R13-J13,0)</x:f>
        <x:v>0</x:v>
      </x:c>
      <x:c r="T13" s="16">
        <x:f>IFERROR(S13*Parameters!$B$5,0)</x:f>
        <x:v>0</x:v>
      </x:c>
      <x:c r="U13" s="16">
        <x:f>IFERROR(S13*Parameters!$B$6,0)</x:f>
        <x:v>0</x:v>
      </x:c>
      <x:c r="V13" s="13" t="n"/>
      <x:c r="W13" s="15">
        <x:f>IFERROR(MAX(0,Q13-V13),0)</x:f>
        <x:v>0</x:v>
      </x:c>
      <x:c r="X13" s="11" t="str">
        <x:f>IF((Parameters!$B$3-SUM($M$2:M13))&lt;Parameters!$B$4,"Warning","OK")</x:f>
        <x:v>Warning</x:v>
      </x:c>
      <x:c r="Y13" s="13" t="n"/>
    </x:row>
    <x:row r="14">
      <x:c r="A14" s="11" t="str">
        <x:f>"RUN-"&amp;TEXT(13,"000")</x:f>
        <x:v>RUN-013</x:v>
      </x:c>
      <x:c r="B14" s="12" t="n"/>
      <x:c r="C14" s="11">
        <x:f>IF(B14&lt;&gt;"",MONTH(B14),"")</x:f>
      </x:c>
      <x:c r="D14" s="13" t="n"/>
      <x:c r="E14" s="13" t="n"/>
      <x:c r="F14" s="13" t="n"/>
      <x:c r="G14" s="13" t="n"/>
      <x:c r="H14" s="14" t="n"/>
      <x:c r="I14" s="14" t="n"/>
      <x:c r="J14" s="14" t="n"/>
      <x:c r="K14" s="14" t="n"/>
      <x:c r="L14" s="14" t="n"/>
      <x:c r="M14" s="15">
        <x:f>IFERROR(H14+K14+L14,0)</x:f>
        <x:v>0</x:v>
      </x:c>
      <x:c r="N14" s="16">
        <x:f>IFERROR(M14*Parameters!$B$2,0)</x:f>
        <x:v>0</x:v>
      </x:c>
      <x:c r="O14" s="16">
        <x:f>IFERROR(K14*Parameters!$B$2,0)</x:f>
        <x:v>0</x:v>
      </x:c>
      <x:c r="P14" s="16">
        <x:f>IFERROR(L14*Parameters!$B$2,0)</x:f>
        <x:v>0</x:v>
      </x:c>
      <x:c r="Q14" s="16">
        <x:f>IFERROR(H14*I14,0)</x:f>
        <x:v>0</x:v>
      </x:c>
      <x:c r="R14" s="16">
        <x:f>IFERROR(Q14-(H14*Parameters!$B$2),0)</x:f>
        <x:v>0</x:v>
      </x:c>
      <x:c r="S14" s="16">
        <x:f>IFERROR(R14-J14,0)</x:f>
        <x:v>0</x:v>
      </x:c>
      <x:c r="T14" s="16">
        <x:f>IFERROR(S14*Parameters!$B$5,0)</x:f>
        <x:v>0</x:v>
      </x:c>
      <x:c r="U14" s="16">
        <x:f>IFERROR(S14*Parameters!$B$6,0)</x:f>
        <x:v>0</x:v>
      </x:c>
      <x:c r="V14" s="13" t="n"/>
      <x:c r="W14" s="15">
        <x:f>IFERROR(MAX(0,Q14-V14),0)</x:f>
        <x:v>0</x:v>
      </x:c>
      <x:c r="X14" s="11" t="str">
        <x:f>IF((Parameters!$B$3-SUM($M$2:M14))&lt;Parameters!$B$4,"Warning","OK")</x:f>
        <x:v>Warning</x:v>
      </x:c>
      <x:c r="Y14" s="13" t="n"/>
    </x:row>
    <x:row r="15">
      <x:c r="A15" s="11" t="str">
        <x:f>"RUN-"&amp;TEXT(14,"000")</x:f>
        <x:v>RUN-014</x:v>
      </x:c>
      <x:c r="B15" s="12" t="n"/>
      <x:c r="C15" s="11">
        <x:f>IF(B15&lt;&gt;"",MONTH(B15),"")</x:f>
      </x:c>
      <x:c r="D15" s="13" t="n"/>
      <x:c r="E15" s="13" t="n"/>
      <x:c r="F15" s="13" t="n"/>
      <x:c r="G15" s="13" t="n"/>
      <x:c r="H15" s="14" t="n"/>
      <x:c r="I15" s="14" t="n"/>
      <x:c r="J15" s="14" t="n"/>
      <x:c r="K15" s="14" t="n"/>
      <x:c r="L15" s="14" t="n"/>
      <x:c r="M15" s="15">
        <x:f>IFERROR(H15+K15+L15,0)</x:f>
        <x:v>0</x:v>
      </x:c>
      <x:c r="N15" s="16">
        <x:f>IFERROR(M15*Parameters!$B$2,0)</x:f>
        <x:v>0</x:v>
      </x:c>
      <x:c r="O15" s="16">
        <x:f>IFERROR(K15*Parameters!$B$2,0)</x:f>
        <x:v>0</x:v>
      </x:c>
      <x:c r="P15" s="16">
        <x:f>IFERROR(L15*Parameters!$B$2,0)</x:f>
        <x:v>0</x:v>
      </x:c>
      <x:c r="Q15" s="16">
        <x:f>IFERROR(H15*I15,0)</x:f>
        <x:v>0</x:v>
      </x:c>
      <x:c r="R15" s="16">
        <x:f>IFERROR(Q15-(H15*Parameters!$B$2),0)</x:f>
        <x:v>0</x:v>
      </x:c>
      <x:c r="S15" s="16">
        <x:f>IFERROR(R15-J15,0)</x:f>
        <x:v>0</x:v>
      </x:c>
      <x:c r="T15" s="16">
        <x:f>IFERROR(S15*Parameters!$B$5,0)</x:f>
        <x:v>0</x:v>
      </x:c>
      <x:c r="U15" s="16">
        <x:f>IFERROR(S15*Parameters!$B$6,0)</x:f>
        <x:v>0</x:v>
      </x:c>
      <x:c r="V15" s="13" t="n"/>
      <x:c r="W15" s="15">
        <x:f>IFERROR(MAX(0,Q15-V15),0)</x:f>
        <x:v>0</x:v>
      </x:c>
      <x:c r="X15" s="11" t="str">
        <x:f>IF((Parameters!$B$3-SUM($M$2:M15))&lt;Parameters!$B$4,"Warning","OK")</x:f>
        <x:v>Warning</x:v>
      </x:c>
      <x:c r="Y15" s="13" t="n"/>
    </x:row>
    <x:row r="16">
      <x:c r="A16" s="11" t="str">
        <x:f>"RUN-"&amp;TEXT(15,"000")</x:f>
        <x:v>RUN-015</x:v>
      </x:c>
      <x:c r="B16" s="12" t="n"/>
      <x:c r="C16" s="11">
        <x:f>IF(B16&lt;&gt;"",MONTH(B16),"")</x:f>
      </x:c>
      <x:c r="D16" s="13" t="n"/>
      <x:c r="E16" s="13" t="n"/>
      <x:c r="F16" s="13" t="n"/>
      <x:c r="G16" s="13" t="n"/>
      <x:c r="H16" s="14" t="n"/>
      <x:c r="I16" s="14" t="n"/>
      <x:c r="J16" s="14" t="n"/>
      <x:c r="K16" s="14" t="n"/>
      <x:c r="L16" s="14" t="n"/>
      <x:c r="M16" s="15">
        <x:f>IFERROR(H16+K16+L16,0)</x:f>
        <x:v>0</x:v>
      </x:c>
      <x:c r="N16" s="16">
        <x:f>IFERROR(M16*Parameters!$B$2,0)</x:f>
        <x:v>0</x:v>
      </x:c>
      <x:c r="O16" s="16">
        <x:f>IFERROR(K16*Parameters!$B$2,0)</x:f>
        <x:v>0</x:v>
      </x:c>
      <x:c r="P16" s="16">
        <x:f>IFERROR(L16*Parameters!$B$2,0)</x:f>
        <x:v>0</x:v>
      </x:c>
      <x:c r="Q16" s="16">
        <x:f>IFERROR(H16*I16,0)</x:f>
        <x:v>0</x:v>
      </x:c>
      <x:c r="R16" s="16">
        <x:f>IFERROR(Q16-(H16*Parameters!$B$2),0)</x:f>
        <x:v>0</x:v>
      </x:c>
      <x:c r="S16" s="16">
        <x:f>IFERROR(R16-J16,0)</x:f>
        <x:v>0</x:v>
      </x:c>
      <x:c r="T16" s="16">
        <x:f>IFERROR(S16*Parameters!$B$5,0)</x:f>
        <x:v>0</x:v>
      </x:c>
      <x:c r="U16" s="16">
        <x:f>IFERROR(S16*Parameters!$B$6,0)</x:f>
        <x:v>0</x:v>
      </x:c>
      <x:c r="V16" s="13" t="n"/>
      <x:c r="W16" s="15">
        <x:f>IFERROR(MAX(0,Q16-V16),0)</x:f>
        <x:v>0</x:v>
      </x:c>
      <x:c r="X16" s="11" t="str">
        <x:f>IF((Parameters!$B$3-SUM($M$2:M16))&lt;Parameters!$B$4,"Warning","OK")</x:f>
        <x:v>Warning</x:v>
      </x:c>
      <x:c r="Y16" s="13" t="n"/>
    </x:row>
    <x:row r="17">
      <x:c r="A17" s="11" t="str">
        <x:f>"RUN-"&amp;TEXT(16,"000")</x:f>
        <x:v>RUN-016</x:v>
      </x:c>
      <x:c r="B17" s="12" t="n"/>
      <x:c r="C17" s="11">
        <x:f>IF(B17&lt;&gt;"",MONTH(B17),"")</x:f>
      </x:c>
      <x:c r="D17" s="13" t="n"/>
      <x:c r="E17" s="13" t="n"/>
      <x:c r="F17" s="13" t="n"/>
      <x:c r="G17" s="13" t="n"/>
      <x:c r="H17" s="14" t="n"/>
      <x:c r="I17" s="14" t="n"/>
      <x:c r="J17" s="14" t="n"/>
      <x:c r="K17" s="14" t="n"/>
      <x:c r="L17" s="14" t="n"/>
      <x:c r="M17" s="15">
        <x:f>IFERROR(H17+K17+L17,0)</x:f>
        <x:v>0</x:v>
      </x:c>
      <x:c r="N17" s="16">
        <x:f>IFERROR(M17*Parameters!$B$2,0)</x:f>
        <x:v>0</x:v>
      </x:c>
      <x:c r="O17" s="16">
        <x:f>IFERROR(K17*Parameters!$B$2,0)</x:f>
        <x:v>0</x:v>
      </x:c>
      <x:c r="P17" s="16">
        <x:f>IFERROR(L17*Parameters!$B$2,0)</x:f>
        <x:v>0</x:v>
      </x:c>
      <x:c r="Q17" s="16">
        <x:f>IFERROR(H17*I17,0)</x:f>
        <x:v>0</x:v>
      </x:c>
      <x:c r="R17" s="16">
        <x:f>IFERROR(Q17-(H17*Parameters!$B$2),0)</x:f>
        <x:v>0</x:v>
      </x:c>
      <x:c r="S17" s="16">
        <x:f>IFERROR(R17-J17,0)</x:f>
        <x:v>0</x:v>
      </x:c>
      <x:c r="T17" s="16">
        <x:f>IFERROR(S17*Parameters!$B$5,0)</x:f>
        <x:v>0</x:v>
      </x:c>
      <x:c r="U17" s="16">
        <x:f>IFERROR(S17*Parameters!$B$6,0)</x:f>
        <x:v>0</x:v>
      </x:c>
      <x:c r="V17" s="13" t="n"/>
      <x:c r="W17" s="15">
        <x:f>IFERROR(MAX(0,Q17-V17),0)</x:f>
        <x:v>0</x:v>
      </x:c>
      <x:c r="X17" s="11" t="str">
        <x:f>IF((Parameters!$B$3-SUM($M$2:M17))&lt;Parameters!$B$4,"Warning","OK")</x:f>
        <x:v>Warning</x:v>
      </x:c>
      <x:c r="Y17" s="13" t="n"/>
    </x:row>
    <x:row r="18">
      <x:c r="A18" s="11" t="str">
        <x:f>"RUN-"&amp;TEXT(17,"000")</x:f>
        <x:v>RUN-017</x:v>
      </x:c>
      <x:c r="B18" s="12" t="n"/>
      <x:c r="C18" s="11">
        <x:f>IF(B18&lt;&gt;"",MONTH(B18),"")</x:f>
      </x:c>
      <x:c r="D18" s="13" t="n"/>
      <x:c r="E18" s="13" t="n"/>
      <x:c r="F18" s="13" t="n"/>
      <x:c r="G18" s="13" t="n"/>
      <x:c r="H18" s="14" t="n"/>
      <x:c r="I18" s="14" t="n"/>
      <x:c r="J18" s="14" t="n"/>
      <x:c r="K18" s="14" t="n"/>
      <x:c r="L18" s="14" t="n"/>
      <x:c r="M18" s="15">
        <x:f>IFERROR(H18+K18+L18,0)</x:f>
        <x:v>0</x:v>
      </x:c>
      <x:c r="N18" s="16">
        <x:f>IFERROR(M18*Parameters!$B$2,0)</x:f>
        <x:v>0</x:v>
      </x:c>
      <x:c r="O18" s="16">
        <x:f>IFERROR(K18*Parameters!$B$2,0)</x:f>
        <x:v>0</x:v>
      </x:c>
      <x:c r="P18" s="16">
        <x:f>IFERROR(L18*Parameters!$B$2,0)</x:f>
        <x:v>0</x:v>
      </x:c>
      <x:c r="Q18" s="16">
        <x:f>IFERROR(H18*I18,0)</x:f>
        <x:v>0</x:v>
      </x:c>
      <x:c r="R18" s="16">
        <x:f>IFERROR(Q18-(H18*Parameters!$B$2),0)</x:f>
        <x:v>0</x:v>
      </x:c>
      <x:c r="S18" s="16">
        <x:f>IFERROR(R18-J18,0)</x:f>
        <x:v>0</x:v>
      </x:c>
      <x:c r="T18" s="16">
        <x:f>IFERROR(S18*Parameters!$B$5,0)</x:f>
        <x:v>0</x:v>
      </x:c>
      <x:c r="U18" s="16">
        <x:f>IFERROR(S18*Parameters!$B$6,0)</x:f>
        <x:v>0</x:v>
      </x:c>
      <x:c r="V18" s="13" t="n"/>
      <x:c r="W18" s="15">
        <x:f>IFERROR(MAX(0,Q18-V18),0)</x:f>
        <x:v>0</x:v>
      </x:c>
      <x:c r="X18" s="11" t="str">
        <x:f>IF((Parameters!$B$3-SUM($M$2:M18))&lt;Parameters!$B$4,"Warning","OK")</x:f>
        <x:v>Warning</x:v>
      </x:c>
      <x:c r="Y18" s="13" t="n"/>
    </x:row>
    <x:row r="19">
      <x:c r="A19" s="11" t="str">
        <x:f>"RUN-"&amp;TEXT(18,"000")</x:f>
        <x:v>RUN-018</x:v>
      </x:c>
      <x:c r="B19" s="12" t="n"/>
      <x:c r="C19" s="11">
        <x:f>IF(B19&lt;&gt;"",MONTH(B19),"")</x:f>
      </x:c>
      <x:c r="D19" s="13" t="n"/>
      <x:c r="E19" s="13" t="n"/>
      <x:c r="F19" s="13" t="n"/>
      <x:c r="G19" s="13" t="n"/>
      <x:c r="H19" s="14" t="n"/>
      <x:c r="I19" s="14" t="n"/>
      <x:c r="J19" s="14" t="n"/>
      <x:c r="K19" s="14" t="n"/>
      <x:c r="L19" s="14" t="n"/>
      <x:c r="M19" s="15">
        <x:f>IFERROR(H19+K19+L19,0)</x:f>
        <x:v>0</x:v>
      </x:c>
      <x:c r="N19" s="16">
        <x:f>IFERROR(M19*Parameters!$B$2,0)</x:f>
        <x:v>0</x:v>
      </x:c>
      <x:c r="O19" s="16">
        <x:f>IFERROR(K19*Parameters!$B$2,0)</x:f>
        <x:v>0</x:v>
      </x:c>
      <x:c r="P19" s="16">
        <x:f>IFERROR(L19*Parameters!$B$2,0)</x:f>
        <x:v>0</x:v>
      </x:c>
      <x:c r="Q19" s="16">
        <x:f>IFERROR(H19*I19,0)</x:f>
        <x:v>0</x:v>
      </x:c>
      <x:c r="R19" s="16">
        <x:f>IFERROR(Q19-(H19*Parameters!$B$2),0)</x:f>
        <x:v>0</x:v>
      </x:c>
      <x:c r="S19" s="16">
        <x:f>IFERROR(R19-J19,0)</x:f>
        <x:v>0</x:v>
      </x:c>
      <x:c r="T19" s="16">
        <x:f>IFERROR(S19*Parameters!$B$5,0)</x:f>
        <x:v>0</x:v>
      </x:c>
      <x:c r="U19" s="16">
        <x:f>IFERROR(S19*Parameters!$B$6,0)</x:f>
        <x:v>0</x:v>
      </x:c>
      <x:c r="V19" s="13" t="n"/>
      <x:c r="W19" s="15">
        <x:f>IFERROR(MAX(0,Q19-V19),0)</x:f>
        <x:v>0</x:v>
      </x:c>
      <x:c r="X19" s="11" t="str">
        <x:f>IF((Parameters!$B$3-SUM($M$2:M19))&lt;Parameters!$B$4,"Warning","OK")</x:f>
        <x:v>Warning</x:v>
      </x:c>
      <x:c r="Y19" s="13" t="n"/>
    </x:row>
    <x:row r="20">
      <x:c r="A20" s="11" t="str">
        <x:f>"RUN-"&amp;TEXT(19,"000")</x:f>
        <x:v>RUN-019</x:v>
      </x:c>
      <x:c r="B20" s="12" t="n"/>
      <x:c r="C20" s="11">
        <x:f>IF(B20&lt;&gt;"",MONTH(B20),"")</x:f>
      </x:c>
      <x:c r="D20" s="13" t="n"/>
      <x:c r="E20" s="13" t="n"/>
      <x:c r="F20" s="13" t="n"/>
      <x:c r="G20" s="13" t="n"/>
      <x:c r="H20" s="14" t="n"/>
      <x:c r="I20" s="14" t="n"/>
      <x:c r="J20" s="14" t="n"/>
      <x:c r="K20" s="14" t="n"/>
      <x:c r="L20" s="14" t="n"/>
      <x:c r="M20" s="15">
        <x:f>IFERROR(H20+K20+L20,0)</x:f>
        <x:v>0</x:v>
      </x:c>
      <x:c r="N20" s="16">
        <x:f>IFERROR(M20*Parameters!$B$2,0)</x:f>
        <x:v>0</x:v>
      </x:c>
      <x:c r="O20" s="16">
        <x:f>IFERROR(K20*Parameters!$B$2,0)</x:f>
        <x:v>0</x:v>
      </x:c>
      <x:c r="P20" s="16">
        <x:f>IFERROR(L20*Parameters!$B$2,0)</x:f>
        <x:v>0</x:v>
      </x:c>
      <x:c r="Q20" s="16">
        <x:f>IFERROR(H20*I20,0)</x:f>
        <x:v>0</x:v>
      </x:c>
      <x:c r="R20" s="16">
        <x:f>IFERROR(Q20-(H20*Parameters!$B$2),0)</x:f>
        <x:v>0</x:v>
      </x:c>
      <x:c r="S20" s="16">
        <x:f>IFERROR(R20-J20,0)</x:f>
        <x:v>0</x:v>
      </x:c>
      <x:c r="T20" s="16">
        <x:f>IFERROR(S20*Parameters!$B$5,0)</x:f>
        <x:v>0</x:v>
      </x:c>
      <x:c r="U20" s="16">
        <x:f>IFERROR(S20*Parameters!$B$6,0)</x:f>
        <x:v>0</x:v>
      </x:c>
      <x:c r="V20" s="13" t="n"/>
      <x:c r="W20" s="15">
        <x:f>IFERROR(MAX(0,Q20-V20),0)</x:f>
        <x:v>0</x:v>
      </x:c>
      <x:c r="X20" s="11" t="str">
        <x:f>IF((Parameters!$B$3-SUM($M$2:M20))&lt;Parameters!$B$4,"Warning","OK")</x:f>
        <x:v>Warning</x:v>
      </x:c>
      <x:c r="Y20" s="13" t="n"/>
    </x:row>
    <x:row r="21">
      <x:c r="A21" s="11" t="str">
        <x:f>"RUN-"&amp;TEXT(20,"000")</x:f>
        <x:v>RUN-020</x:v>
      </x:c>
      <x:c r="B21" s="12" t="n"/>
      <x:c r="C21" s="11">
        <x:f>IF(B21&lt;&gt;"",MONTH(B21),"")</x:f>
      </x:c>
      <x:c r="D21" s="13" t="n"/>
      <x:c r="E21" s="13" t="n"/>
      <x:c r="F21" s="13" t="n"/>
      <x:c r="G21" s="13" t="n"/>
      <x:c r="H21" s="14" t="n"/>
      <x:c r="I21" s="14" t="n"/>
      <x:c r="J21" s="14" t="n"/>
      <x:c r="K21" s="14" t="n"/>
      <x:c r="L21" s="14" t="n"/>
      <x:c r="M21" s="15">
        <x:f>IFERROR(H21+K21+L21,0)</x:f>
        <x:v>0</x:v>
      </x:c>
      <x:c r="N21" s="16">
        <x:f>IFERROR(M21*Parameters!$B$2,0)</x:f>
        <x:v>0</x:v>
      </x:c>
      <x:c r="O21" s="16">
        <x:f>IFERROR(K21*Parameters!$B$2,0)</x:f>
        <x:v>0</x:v>
      </x:c>
      <x:c r="P21" s="16">
        <x:f>IFERROR(L21*Parameters!$B$2,0)</x:f>
        <x:v>0</x:v>
      </x:c>
      <x:c r="Q21" s="16">
        <x:f>IFERROR(H21*I21,0)</x:f>
        <x:v>0</x:v>
      </x:c>
      <x:c r="R21" s="16">
        <x:f>IFERROR(Q21-(H21*Parameters!$B$2),0)</x:f>
        <x:v>0</x:v>
      </x:c>
      <x:c r="S21" s="16">
        <x:f>IFERROR(R21-J21,0)</x:f>
        <x:v>0</x:v>
      </x:c>
      <x:c r="T21" s="16">
        <x:f>IFERROR(S21*Parameters!$B$5,0)</x:f>
        <x:v>0</x:v>
      </x:c>
      <x:c r="U21" s="16">
        <x:f>IFERROR(S21*Parameters!$B$6,0)</x:f>
        <x:v>0</x:v>
      </x:c>
      <x:c r="V21" s="13" t="n"/>
      <x:c r="W21" s="15">
        <x:f>IFERROR(MAX(0,Q21-V21),0)</x:f>
        <x:v>0</x:v>
      </x:c>
      <x:c r="X21" s="11" t="str">
        <x:f>IF((Parameters!$B$3-SUM($M$2:M21))&lt;Parameters!$B$4,"Warning","OK")</x:f>
        <x:v>Warning</x:v>
      </x:c>
      <x:c r="Y21" s="13" t="n"/>
    </x:row>
    <x:row r="22">
      <x:c r="A22" s="11" t="str">
        <x:f>"RUN-"&amp;TEXT(21,"000")</x:f>
        <x:v>RUN-021</x:v>
      </x:c>
      <x:c r="B22" s="12" t="n"/>
      <x:c r="C22" s="11">
        <x:f>IF(B22&lt;&gt;"",MONTH(B22),"")</x:f>
      </x:c>
      <x:c r="D22" s="13" t="n"/>
      <x:c r="E22" s="13" t="n"/>
      <x:c r="F22" s="13" t="n"/>
      <x:c r="G22" s="13" t="n"/>
      <x:c r="H22" s="14" t="n"/>
      <x:c r="I22" s="14" t="n"/>
      <x:c r="J22" s="14" t="n"/>
      <x:c r="K22" s="14" t="n"/>
      <x:c r="L22" s="14" t="n"/>
      <x:c r="M22" s="15">
        <x:f>IFERROR(H22+K22+L22,0)</x:f>
        <x:v>0</x:v>
      </x:c>
      <x:c r="N22" s="16">
        <x:f>IFERROR(M22*Parameters!$B$2,0)</x:f>
        <x:v>0</x:v>
      </x:c>
      <x:c r="O22" s="16">
        <x:f>IFERROR(K22*Parameters!$B$2,0)</x:f>
        <x:v>0</x:v>
      </x:c>
      <x:c r="P22" s="16">
        <x:f>IFERROR(L22*Parameters!$B$2,0)</x:f>
        <x:v>0</x:v>
      </x:c>
      <x:c r="Q22" s="16">
        <x:f>IFERROR(H22*I22,0)</x:f>
        <x:v>0</x:v>
      </x:c>
      <x:c r="R22" s="16">
        <x:f>IFERROR(Q22-(H22*Parameters!$B$2),0)</x:f>
        <x:v>0</x:v>
      </x:c>
      <x:c r="S22" s="16">
        <x:f>IFERROR(R22-J22,0)</x:f>
        <x:v>0</x:v>
      </x:c>
      <x:c r="T22" s="16">
        <x:f>IFERROR(S22*Parameters!$B$5,0)</x:f>
        <x:v>0</x:v>
      </x:c>
      <x:c r="U22" s="16">
        <x:f>IFERROR(S22*Parameters!$B$6,0)</x:f>
        <x:v>0</x:v>
      </x:c>
      <x:c r="V22" s="13" t="n"/>
      <x:c r="W22" s="15">
        <x:f>IFERROR(MAX(0,Q22-V22),0)</x:f>
        <x:v>0</x:v>
      </x:c>
      <x:c r="X22" s="11" t="str">
        <x:f>IF((Parameters!$B$3-SUM($M$2:M22))&lt;Parameters!$B$4,"Warning","OK")</x:f>
        <x:v>Warning</x:v>
      </x:c>
      <x:c r="Y22" s="13" t="n"/>
    </x:row>
    <x:row r="23">
      <x:c r="A23" s="11" t="str">
        <x:f>"RUN-"&amp;TEXT(22,"000")</x:f>
        <x:v>RUN-022</x:v>
      </x:c>
      <x:c r="B23" s="12" t="n"/>
      <x:c r="C23" s="11">
        <x:f>IF(B23&lt;&gt;"",MONTH(B23),"")</x:f>
      </x:c>
      <x:c r="D23" s="13" t="n"/>
      <x:c r="E23" s="13" t="n"/>
      <x:c r="F23" s="13" t="n"/>
      <x:c r="G23" s="13" t="n"/>
      <x:c r="H23" s="14" t="n"/>
      <x:c r="I23" s="14" t="n"/>
      <x:c r="J23" s="14" t="n"/>
      <x:c r="K23" s="14" t="n"/>
      <x:c r="L23" s="14" t="n"/>
      <x:c r="M23" s="15">
        <x:f>IFERROR(H23+K23+L23,0)</x:f>
        <x:v>0</x:v>
      </x:c>
      <x:c r="N23" s="16">
        <x:f>IFERROR(M23*Parameters!$B$2,0)</x:f>
        <x:v>0</x:v>
      </x:c>
      <x:c r="O23" s="16">
        <x:f>IFERROR(K23*Parameters!$B$2,0)</x:f>
        <x:v>0</x:v>
      </x:c>
      <x:c r="P23" s="16">
        <x:f>IFERROR(L23*Parameters!$B$2,0)</x:f>
        <x:v>0</x:v>
      </x:c>
      <x:c r="Q23" s="16">
        <x:f>IFERROR(H23*I23,0)</x:f>
        <x:v>0</x:v>
      </x:c>
      <x:c r="R23" s="16">
        <x:f>IFERROR(Q23-(H23*Parameters!$B$2),0)</x:f>
        <x:v>0</x:v>
      </x:c>
      <x:c r="S23" s="16">
        <x:f>IFERROR(R23-J23,0)</x:f>
        <x:v>0</x:v>
      </x:c>
      <x:c r="T23" s="16">
        <x:f>IFERROR(S23*Parameters!$B$5,0)</x:f>
        <x:v>0</x:v>
      </x:c>
      <x:c r="U23" s="16">
        <x:f>IFERROR(S23*Parameters!$B$6,0)</x:f>
        <x:v>0</x:v>
      </x:c>
      <x:c r="V23" s="13" t="n"/>
      <x:c r="W23" s="15">
        <x:f>IFERROR(MAX(0,Q23-V23),0)</x:f>
        <x:v>0</x:v>
      </x:c>
      <x:c r="X23" s="11" t="str">
        <x:f>IF((Parameters!$B$3-SUM($M$2:M23))&lt;Parameters!$B$4,"Warning","OK")</x:f>
        <x:v>Warning</x:v>
      </x:c>
      <x:c r="Y23" s="13" t="n"/>
    </x:row>
    <x:row r="24">
      <x:c r="A24" s="11" t="str">
        <x:f>"RUN-"&amp;TEXT(23,"000")</x:f>
        <x:v>RUN-023</x:v>
      </x:c>
      <x:c r="B24" s="12" t="n"/>
      <x:c r="C24" s="11">
        <x:f>IF(B24&lt;&gt;"",MONTH(B24),"")</x:f>
      </x:c>
      <x:c r="D24" s="13" t="n"/>
      <x:c r="E24" s="13" t="n"/>
      <x:c r="F24" s="13" t="n"/>
      <x:c r="G24" s="13" t="n"/>
      <x:c r="H24" s="14" t="n"/>
      <x:c r="I24" s="14" t="n"/>
      <x:c r="J24" s="14" t="n"/>
      <x:c r="K24" s="14" t="n"/>
      <x:c r="L24" s="14" t="n"/>
      <x:c r="M24" s="15">
        <x:f>IFERROR(H24+K24+L24,0)</x:f>
        <x:v>0</x:v>
      </x:c>
      <x:c r="N24" s="16">
        <x:f>IFERROR(M24*Parameters!$B$2,0)</x:f>
        <x:v>0</x:v>
      </x:c>
      <x:c r="O24" s="16">
        <x:f>IFERROR(K24*Parameters!$B$2,0)</x:f>
        <x:v>0</x:v>
      </x:c>
      <x:c r="P24" s="16">
        <x:f>IFERROR(L24*Parameters!$B$2,0)</x:f>
        <x:v>0</x:v>
      </x:c>
      <x:c r="Q24" s="16">
        <x:f>IFERROR(H24*I24,0)</x:f>
        <x:v>0</x:v>
      </x:c>
      <x:c r="R24" s="16">
        <x:f>IFERROR(Q24-(H24*Parameters!$B$2),0)</x:f>
        <x:v>0</x:v>
      </x:c>
      <x:c r="S24" s="16">
        <x:f>IFERROR(R24-J24,0)</x:f>
        <x:v>0</x:v>
      </x:c>
      <x:c r="T24" s="16">
        <x:f>IFERROR(S24*Parameters!$B$5,0)</x:f>
        <x:v>0</x:v>
      </x:c>
      <x:c r="U24" s="16">
        <x:f>IFERROR(S24*Parameters!$B$6,0)</x:f>
        <x:v>0</x:v>
      </x:c>
      <x:c r="V24" s="13" t="n"/>
      <x:c r="W24" s="15">
        <x:f>IFERROR(MAX(0,Q24-V24),0)</x:f>
        <x:v>0</x:v>
      </x:c>
      <x:c r="X24" s="11" t="str">
        <x:f>IF((Parameters!$B$3-SUM($M$2:M24))&lt;Parameters!$B$4,"Warning","OK")</x:f>
        <x:v>Warning</x:v>
      </x:c>
      <x:c r="Y24" s="13" t="n"/>
    </x:row>
    <x:row r="25">
      <x:c r="A25" s="11" t="str">
        <x:f>"RUN-"&amp;TEXT(24,"000")</x:f>
        <x:v>RUN-024</x:v>
      </x:c>
      <x:c r="B25" s="12" t="n"/>
      <x:c r="C25" s="11">
        <x:f>IF(B25&lt;&gt;"",MONTH(B25),"")</x:f>
      </x:c>
      <x:c r="D25" s="13" t="n"/>
      <x:c r="E25" s="13" t="n"/>
      <x:c r="F25" s="13" t="n"/>
      <x:c r="G25" s="13" t="n"/>
      <x:c r="H25" s="14" t="n"/>
      <x:c r="I25" s="14" t="n"/>
      <x:c r="J25" s="14" t="n"/>
      <x:c r="K25" s="14" t="n"/>
      <x:c r="L25" s="14" t="n"/>
      <x:c r="M25" s="15">
        <x:f>IFERROR(H25+K25+L25,0)</x:f>
        <x:v>0</x:v>
      </x:c>
      <x:c r="N25" s="16">
        <x:f>IFERROR(M25*Parameters!$B$2,0)</x:f>
        <x:v>0</x:v>
      </x:c>
      <x:c r="O25" s="16">
        <x:f>IFERROR(K25*Parameters!$B$2,0)</x:f>
        <x:v>0</x:v>
      </x:c>
      <x:c r="P25" s="16">
        <x:f>IFERROR(L25*Parameters!$B$2,0)</x:f>
        <x:v>0</x:v>
      </x:c>
      <x:c r="Q25" s="16">
        <x:f>IFERROR(H25*I25,0)</x:f>
        <x:v>0</x:v>
      </x:c>
      <x:c r="R25" s="16">
        <x:f>IFERROR(Q25-(H25*Parameters!$B$2),0)</x:f>
        <x:v>0</x:v>
      </x:c>
      <x:c r="S25" s="16">
        <x:f>IFERROR(R25-J25,0)</x:f>
        <x:v>0</x:v>
      </x:c>
      <x:c r="T25" s="16">
        <x:f>IFERROR(S25*Parameters!$B$5,0)</x:f>
        <x:v>0</x:v>
      </x:c>
      <x:c r="U25" s="16">
        <x:f>IFERROR(S25*Parameters!$B$6,0)</x:f>
        <x:v>0</x:v>
      </x:c>
      <x:c r="V25" s="13" t="n"/>
      <x:c r="W25" s="15">
        <x:f>IFERROR(MAX(0,Q25-V25),0)</x:f>
        <x:v>0</x:v>
      </x:c>
      <x:c r="X25" s="11" t="str">
        <x:f>IF((Parameters!$B$3-SUM($M$2:M25))&lt;Parameters!$B$4,"Warning","OK")</x:f>
        <x:v>Warning</x:v>
      </x:c>
      <x:c r="Y25" s="13" t="n"/>
    </x:row>
    <x:row r="26">
      <x:c r="A26" s="11" t="str">
        <x:f>"RUN-"&amp;TEXT(25,"000")</x:f>
        <x:v>RUN-025</x:v>
      </x:c>
      <x:c r="B26" s="12" t="n"/>
      <x:c r="C26" s="11">
        <x:f>IF(B26&lt;&gt;"",MONTH(B26),"")</x:f>
      </x:c>
      <x:c r="D26" s="13" t="n"/>
      <x:c r="E26" s="13" t="n"/>
      <x:c r="F26" s="13" t="n"/>
      <x:c r="G26" s="13" t="n"/>
      <x:c r="H26" s="14" t="n"/>
      <x:c r="I26" s="14" t="n"/>
      <x:c r="J26" s="14" t="n"/>
      <x:c r="K26" s="14" t="n"/>
      <x:c r="L26" s="14" t="n"/>
      <x:c r="M26" s="15">
        <x:f>IFERROR(H26+K26+L26,0)</x:f>
        <x:v>0</x:v>
      </x:c>
      <x:c r="N26" s="16">
        <x:f>IFERROR(M26*Parameters!$B$2,0)</x:f>
        <x:v>0</x:v>
      </x:c>
      <x:c r="O26" s="16">
        <x:f>IFERROR(K26*Parameters!$B$2,0)</x:f>
        <x:v>0</x:v>
      </x:c>
      <x:c r="P26" s="16">
        <x:f>IFERROR(L26*Parameters!$B$2,0)</x:f>
        <x:v>0</x:v>
      </x:c>
      <x:c r="Q26" s="16">
        <x:f>IFERROR(H26*I26,0)</x:f>
        <x:v>0</x:v>
      </x:c>
      <x:c r="R26" s="16">
        <x:f>IFERROR(Q26-(H26*Parameters!$B$2),0)</x:f>
        <x:v>0</x:v>
      </x:c>
      <x:c r="S26" s="16">
        <x:f>IFERROR(R26-J26,0)</x:f>
        <x:v>0</x:v>
      </x:c>
      <x:c r="T26" s="16">
        <x:f>IFERROR(S26*Parameters!$B$5,0)</x:f>
        <x:v>0</x:v>
      </x:c>
      <x:c r="U26" s="16">
        <x:f>IFERROR(S26*Parameters!$B$6,0)</x:f>
        <x:v>0</x:v>
      </x:c>
      <x:c r="V26" s="13" t="n"/>
      <x:c r="W26" s="15">
        <x:f>IFERROR(MAX(0,Q26-V26),0)</x:f>
        <x:v>0</x:v>
      </x:c>
      <x:c r="X26" s="11" t="str">
        <x:f>IF((Parameters!$B$3-SUM($M$2:M26))&lt;Parameters!$B$4,"Warning","OK")</x:f>
        <x:v>Warning</x:v>
      </x:c>
      <x:c r="Y26" s="13" t="n"/>
    </x:row>
    <x:row r="27">
      <x:c r="A27" s="11" t="str">
        <x:f>"RUN-"&amp;TEXT(26,"000")</x:f>
        <x:v>RUN-026</x:v>
      </x:c>
      <x:c r="B27" s="12" t="n"/>
      <x:c r="C27" s="11">
        <x:f>IF(B27&lt;&gt;"",MONTH(B27),"")</x:f>
      </x:c>
      <x:c r="D27" s="13" t="n"/>
      <x:c r="E27" s="13" t="n"/>
      <x:c r="F27" s="13" t="n"/>
      <x:c r="G27" s="13" t="n"/>
      <x:c r="H27" s="14" t="n"/>
      <x:c r="I27" s="14" t="n"/>
      <x:c r="J27" s="14" t="n"/>
      <x:c r="K27" s="14" t="n"/>
      <x:c r="L27" s="14" t="n"/>
      <x:c r="M27" s="15">
        <x:f>IFERROR(H27+K27+L27,0)</x:f>
        <x:v>0</x:v>
      </x:c>
      <x:c r="N27" s="16">
        <x:f>IFERROR(M27*Parameters!$B$2,0)</x:f>
        <x:v>0</x:v>
      </x:c>
      <x:c r="O27" s="16">
        <x:f>IFERROR(K27*Parameters!$B$2,0)</x:f>
        <x:v>0</x:v>
      </x:c>
      <x:c r="P27" s="16">
        <x:f>IFERROR(L27*Parameters!$B$2,0)</x:f>
        <x:v>0</x:v>
      </x:c>
      <x:c r="Q27" s="16">
        <x:f>IFERROR(H27*I27,0)</x:f>
        <x:v>0</x:v>
      </x:c>
      <x:c r="R27" s="16">
        <x:f>IFERROR(Q27-(H27*Parameters!$B$2),0)</x:f>
        <x:v>0</x:v>
      </x:c>
      <x:c r="S27" s="16">
        <x:f>IFERROR(R27-J27,0)</x:f>
        <x:v>0</x:v>
      </x:c>
      <x:c r="T27" s="16">
        <x:f>IFERROR(S27*Parameters!$B$5,0)</x:f>
        <x:v>0</x:v>
      </x:c>
      <x:c r="U27" s="16">
        <x:f>IFERROR(S27*Parameters!$B$6,0)</x:f>
        <x:v>0</x:v>
      </x:c>
      <x:c r="V27" s="13" t="n"/>
      <x:c r="W27" s="15">
        <x:f>IFERROR(MAX(0,Q27-V27),0)</x:f>
        <x:v>0</x:v>
      </x:c>
      <x:c r="X27" s="11" t="str">
        <x:f>IF((Parameters!$B$3-SUM($M$2:M27))&lt;Parameters!$B$4,"Warning","OK")</x:f>
        <x:v>Warning</x:v>
      </x:c>
      <x:c r="Y27" s="13" t="n"/>
    </x:row>
    <x:row r="28">
      <x:c r="A28" s="11" t="str">
        <x:f>"RUN-"&amp;TEXT(27,"000")</x:f>
        <x:v>RUN-027</x:v>
      </x:c>
      <x:c r="B28" s="12" t="n"/>
      <x:c r="C28" s="11">
        <x:f>IF(B28&lt;&gt;"",MONTH(B28),"")</x:f>
      </x:c>
      <x:c r="D28" s="13" t="n"/>
      <x:c r="E28" s="13" t="n"/>
      <x:c r="F28" s="13" t="n"/>
      <x:c r="G28" s="13" t="n"/>
      <x:c r="H28" s="14" t="n"/>
      <x:c r="I28" s="14" t="n"/>
      <x:c r="J28" s="14" t="n"/>
      <x:c r="K28" s="14" t="n"/>
      <x:c r="L28" s="14" t="n"/>
      <x:c r="M28" s="15">
        <x:f>IFERROR(H28+K28+L28,0)</x:f>
        <x:v>0</x:v>
      </x:c>
      <x:c r="N28" s="16">
        <x:f>IFERROR(M28*Parameters!$B$2,0)</x:f>
        <x:v>0</x:v>
      </x:c>
      <x:c r="O28" s="16">
        <x:f>IFERROR(K28*Parameters!$B$2,0)</x:f>
        <x:v>0</x:v>
      </x:c>
      <x:c r="P28" s="16">
        <x:f>IFERROR(L28*Parameters!$B$2,0)</x:f>
        <x:v>0</x:v>
      </x:c>
      <x:c r="Q28" s="16">
        <x:f>IFERROR(H28*I28,0)</x:f>
        <x:v>0</x:v>
      </x:c>
      <x:c r="R28" s="16">
        <x:f>IFERROR(Q28-(H28*Parameters!$B$2),0)</x:f>
        <x:v>0</x:v>
      </x:c>
      <x:c r="S28" s="16">
        <x:f>IFERROR(R28-J28,0)</x:f>
        <x:v>0</x:v>
      </x:c>
      <x:c r="T28" s="16">
        <x:f>IFERROR(S28*Parameters!$B$5,0)</x:f>
        <x:v>0</x:v>
      </x:c>
      <x:c r="U28" s="16">
        <x:f>IFERROR(S28*Parameters!$B$6,0)</x:f>
        <x:v>0</x:v>
      </x:c>
      <x:c r="V28" s="13" t="n"/>
      <x:c r="W28" s="15">
        <x:f>IFERROR(MAX(0,Q28-V28),0)</x:f>
        <x:v>0</x:v>
      </x:c>
      <x:c r="X28" s="11" t="str">
        <x:f>IF((Parameters!$B$3-SUM($M$2:M28))&lt;Parameters!$B$4,"Warning","OK")</x:f>
        <x:v>Warning</x:v>
      </x:c>
      <x:c r="Y28" s="13" t="n"/>
    </x:row>
    <x:row r="29">
      <x:c r="A29" s="11" t="str">
        <x:f>"RUN-"&amp;TEXT(28,"000")</x:f>
        <x:v>RUN-028</x:v>
      </x:c>
      <x:c r="B29" s="12" t="n"/>
      <x:c r="C29" s="11">
        <x:f>IF(B29&lt;&gt;"",MONTH(B29),"")</x:f>
      </x:c>
      <x:c r="D29" s="13" t="n"/>
      <x:c r="E29" s="13" t="n"/>
      <x:c r="F29" s="13" t="n"/>
      <x:c r="G29" s="13" t="n"/>
      <x:c r="H29" s="14" t="n"/>
      <x:c r="I29" s="14" t="n"/>
      <x:c r="J29" s="14" t="n"/>
      <x:c r="K29" s="14" t="n"/>
      <x:c r="L29" s="14" t="n"/>
      <x:c r="M29" s="15">
        <x:f>IFERROR(H29+K29+L29,0)</x:f>
        <x:v>0</x:v>
      </x:c>
      <x:c r="N29" s="16">
        <x:f>IFERROR(M29*Parameters!$B$2,0)</x:f>
        <x:v>0</x:v>
      </x:c>
      <x:c r="O29" s="16">
        <x:f>IFERROR(K29*Parameters!$B$2,0)</x:f>
        <x:v>0</x:v>
      </x:c>
      <x:c r="P29" s="16">
        <x:f>IFERROR(L29*Parameters!$B$2,0)</x:f>
        <x:v>0</x:v>
      </x:c>
      <x:c r="Q29" s="16">
        <x:f>IFERROR(H29*I29,0)</x:f>
        <x:v>0</x:v>
      </x:c>
      <x:c r="R29" s="16">
        <x:f>IFERROR(Q29-(H29*Parameters!$B$2),0)</x:f>
        <x:v>0</x:v>
      </x:c>
      <x:c r="S29" s="16">
        <x:f>IFERROR(R29-J29,0)</x:f>
        <x:v>0</x:v>
      </x:c>
      <x:c r="T29" s="16">
        <x:f>IFERROR(S29*Parameters!$B$5,0)</x:f>
        <x:v>0</x:v>
      </x:c>
      <x:c r="U29" s="16">
        <x:f>IFERROR(S29*Parameters!$B$6,0)</x:f>
        <x:v>0</x:v>
      </x:c>
      <x:c r="V29" s="13" t="n"/>
      <x:c r="W29" s="15">
        <x:f>IFERROR(MAX(0,Q29-V29),0)</x:f>
        <x:v>0</x:v>
      </x:c>
      <x:c r="X29" s="11" t="str">
        <x:f>IF((Parameters!$B$3-SUM($M$2:M29))&lt;Parameters!$B$4,"Warning","OK")</x:f>
        <x:v>Warning</x:v>
      </x:c>
      <x:c r="Y29" s="13" t="n"/>
    </x:row>
    <x:row r="30">
      <x:c r="A30" s="11" t="str">
        <x:f>"RUN-"&amp;TEXT(29,"000")</x:f>
        <x:v>RUN-029</x:v>
      </x:c>
      <x:c r="B30" s="12" t="n"/>
      <x:c r="C30" s="11">
        <x:f>IF(B30&lt;&gt;"",MONTH(B30),"")</x:f>
      </x:c>
      <x:c r="D30" s="13" t="n"/>
      <x:c r="E30" s="13" t="n"/>
      <x:c r="F30" s="13" t="n"/>
      <x:c r="G30" s="13" t="n"/>
      <x:c r="H30" s="14" t="n"/>
      <x:c r="I30" s="14" t="n"/>
      <x:c r="J30" s="14" t="n"/>
      <x:c r="K30" s="14" t="n"/>
      <x:c r="L30" s="14" t="n"/>
      <x:c r="M30" s="15">
        <x:f>IFERROR(H30+K30+L30,0)</x:f>
        <x:v>0</x:v>
      </x:c>
      <x:c r="N30" s="16">
        <x:f>IFERROR(M30*Parameters!$B$2,0)</x:f>
        <x:v>0</x:v>
      </x:c>
      <x:c r="O30" s="16">
        <x:f>IFERROR(K30*Parameters!$B$2,0)</x:f>
        <x:v>0</x:v>
      </x:c>
      <x:c r="P30" s="16">
        <x:f>IFERROR(L30*Parameters!$B$2,0)</x:f>
        <x:v>0</x:v>
      </x:c>
      <x:c r="Q30" s="16">
        <x:f>IFERROR(H30*I30,0)</x:f>
        <x:v>0</x:v>
      </x:c>
      <x:c r="R30" s="16">
        <x:f>IFERROR(Q30-(H30*Parameters!$B$2),0)</x:f>
        <x:v>0</x:v>
      </x:c>
      <x:c r="S30" s="16">
        <x:f>IFERROR(R30-J30,0)</x:f>
        <x:v>0</x:v>
      </x:c>
      <x:c r="T30" s="16">
        <x:f>IFERROR(S30*Parameters!$B$5,0)</x:f>
        <x:v>0</x:v>
      </x:c>
      <x:c r="U30" s="16">
        <x:f>IFERROR(S30*Parameters!$B$6,0)</x:f>
        <x:v>0</x:v>
      </x:c>
      <x:c r="V30" s="13" t="n"/>
      <x:c r="W30" s="15">
        <x:f>IFERROR(MAX(0,Q30-V30),0)</x:f>
        <x:v>0</x:v>
      </x:c>
      <x:c r="X30" s="11" t="str">
        <x:f>IF((Parameters!$B$3-SUM($M$2:M30))&lt;Parameters!$B$4,"Warning","OK")</x:f>
        <x:v>Warning</x:v>
      </x:c>
      <x:c r="Y30" s="13" t="n"/>
    </x:row>
    <x:row r="31">
      <x:c r="A31" s="11" t="str">
        <x:f>"RUN-"&amp;TEXT(30,"000")</x:f>
        <x:v>RUN-030</x:v>
      </x:c>
      <x:c r="B31" s="12" t="n"/>
      <x:c r="C31" s="11">
        <x:f>IF(B31&lt;&gt;"",MONTH(B31),"")</x:f>
      </x:c>
      <x:c r="D31" s="13" t="n"/>
      <x:c r="E31" s="13" t="n"/>
      <x:c r="F31" s="13" t="n"/>
      <x:c r="G31" s="13" t="n"/>
      <x:c r="H31" s="14" t="n"/>
      <x:c r="I31" s="14" t="n"/>
      <x:c r="J31" s="14" t="n"/>
      <x:c r="K31" s="14" t="n"/>
      <x:c r="L31" s="14" t="n"/>
      <x:c r="M31" s="15">
        <x:f>IFERROR(H31+K31+L31,0)</x:f>
        <x:v>0</x:v>
      </x:c>
      <x:c r="N31" s="16">
        <x:f>IFERROR(M31*Parameters!$B$2,0)</x:f>
        <x:v>0</x:v>
      </x:c>
      <x:c r="O31" s="16">
        <x:f>IFERROR(K31*Parameters!$B$2,0)</x:f>
        <x:v>0</x:v>
      </x:c>
      <x:c r="P31" s="16">
        <x:f>IFERROR(L31*Parameters!$B$2,0)</x:f>
        <x:v>0</x:v>
      </x:c>
      <x:c r="Q31" s="16">
        <x:f>IFERROR(H31*I31,0)</x:f>
        <x:v>0</x:v>
      </x:c>
      <x:c r="R31" s="16">
        <x:f>IFERROR(Q31-(H31*Parameters!$B$2),0)</x:f>
        <x:v>0</x:v>
      </x:c>
      <x:c r="S31" s="16">
        <x:f>IFERROR(R31-J31,0)</x:f>
        <x:v>0</x:v>
      </x:c>
      <x:c r="T31" s="16">
        <x:f>IFERROR(S31*Parameters!$B$5,0)</x:f>
        <x:v>0</x:v>
      </x:c>
      <x:c r="U31" s="16">
        <x:f>IFERROR(S31*Parameters!$B$6,0)</x:f>
        <x:v>0</x:v>
      </x:c>
      <x:c r="V31" s="13" t="n"/>
      <x:c r="W31" s="15">
        <x:f>IFERROR(MAX(0,Q31-V31),0)</x:f>
        <x:v>0</x:v>
      </x:c>
      <x:c r="X31" s="11" t="str">
        <x:f>IF((Parameters!$B$3-SUM($M$2:M31))&lt;Parameters!$B$4,"Warning","OK")</x:f>
        <x:v>Warning</x:v>
      </x:c>
      <x:c r="Y31" s="13" t="n"/>
    </x:row>
    <x:row r="32">
      <x:c r="A32" s="11" t="str">
        <x:f>"RUN-"&amp;TEXT(31,"000")</x:f>
        <x:v>RUN-031</x:v>
      </x:c>
      <x:c r="B32" s="12" t="n"/>
      <x:c r="C32" s="11">
        <x:f>IF(B32&lt;&gt;"",MONTH(B32),"")</x:f>
      </x:c>
      <x:c r="D32" s="13" t="n"/>
      <x:c r="E32" s="13" t="n"/>
      <x:c r="F32" s="13" t="n"/>
      <x:c r="G32" s="13" t="n"/>
      <x:c r="H32" s="14" t="n"/>
      <x:c r="I32" s="14" t="n"/>
      <x:c r="J32" s="14" t="n"/>
      <x:c r="K32" s="14" t="n"/>
      <x:c r="L32" s="14" t="n"/>
      <x:c r="M32" s="15">
        <x:f>IFERROR(H32+K32+L32,0)</x:f>
        <x:v>0</x:v>
      </x:c>
      <x:c r="N32" s="16">
        <x:f>IFERROR(M32*Parameters!$B$2,0)</x:f>
        <x:v>0</x:v>
      </x:c>
      <x:c r="O32" s="16">
        <x:f>IFERROR(K32*Parameters!$B$2,0)</x:f>
        <x:v>0</x:v>
      </x:c>
      <x:c r="P32" s="16">
        <x:f>IFERROR(L32*Parameters!$B$2,0)</x:f>
        <x:v>0</x:v>
      </x:c>
      <x:c r="Q32" s="16">
        <x:f>IFERROR(H32*I32,0)</x:f>
        <x:v>0</x:v>
      </x:c>
      <x:c r="R32" s="16">
        <x:f>IFERROR(Q32-(H32*Parameters!$B$2),0)</x:f>
        <x:v>0</x:v>
      </x:c>
      <x:c r="S32" s="16">
        <x:f>IFERROR(R32-J32,0)</x:f>
        <x:v>0</x:v>
      </x:c>
      <x:c r="T32" s="16">
        <x:f>IFERROR(S32*Parameters!$B$5,0)</x:f>
        <x:v>0</x:v>
      </x:c>
      <x:c r="U32" s="16">
        <x:f>IFERROR(S32*Parameters!$B$6,0)</x:f>
        <x:v>0</x:v>
      </x:c>
      <x:c r="V32" s="13" t="n"/>
      <x:c r="W32" s="15">
        <x:f>IFERROR(MAX(0,Q32-V32),0)</x:f>
        <x:v>0</x:v>
      </x:c>
      <x:c r="X32" s="11" t="str">
        <x:f>IF((Parameters!$B$3-SUM($M$2:M32))&lt;Parameters!$B$4,"Warning","OK")</x:f>
        <x:v>Warning</x:v>
      </x:c>
      <x:c r="Y32" s="13" t="n"/>
    </x:row>
    <x:row r="33">
      <x:c r="A33" s="11" t="str">
        <x:f>"RUN-"&amp;TEXT(32,"000")</x:f>
        <x:v>RUN-032</x:v>
      </x:c>
      <x:c r="B33" s="12" t="n"/>
      <x:c r="C33" s="11">
        <x:f>IF(B33&lt;&gt;"",MONTH(B33),"")</x:f>
      </x:c>
      <x:c r="D33" s="13" t="n"/>
      <x:c r="E33" s="13" t="n"/>
      <x:c r="F33" s="13" t="n"/>
      <x:c r="G33" s="13" t="n"/>
      <x:c r="H33" s="14" t="n"/>
      <x:c r="I33" s="14" t="n"/>
      <x:c r="J33" s="14" t="n"/>
      <x:c r="K33" s="14" t="n"/>
      <x:c r="L33" s="14" t="n"/>
      <x:c r="M33" s="15">
        <x:f>IFERROR(H33+K33+L33,0)</x:f>
        <x:v>0</x:v>
      </x:c>
      <x:c r="N33" s="16">
        <x:f>IFERROR(M33*Parameters!$B$2,0)</x:f>
        <x:v>0</x:v>
      </x:c>
      <x:c r="O33" s="16">
        <x:f>IFERROR(K33*Parameters!$B$2,0)</x:f>
        <x:v>0</x:v>
      </x:c>
      <x:c r="P33" s="16">
        <x:f>IFERROR(L33*Parameters!$B$2,0)</x:f>
        <x:v>0</x:v>
      </x:c>
      <x:c r="Q33" s="16">
        <x:f>IFERROR(H33*I33,0)</x:f>
        <x:v>0</x:v>
      </x:c>
      <x:c r="R33" s="16">
        <x:f>IFERROR(Q33-(H33*Parameters!$B$2),0)</x:f>
        <x:v>0</x:v>
      </x:c>
      <x:c r="S33" s="16">
        <x:f>IFERROR(R33-J33,0)</x:f>
        <x:v>0</x:v>
      </x:c>
      <x:c r="T33" s="16">
        <x:f>IFERROR(S33*Parameters!$B$5,0)</x:f>
        <x:v>0</x:v>
      </x:c>
      <x:c r="U33" s="16">
        <x:f>IFERROR(S33*Parameters!$B$6,0)</x:f>
        <x:v>0</x:v>
      </x:c>
      <x:c r="V33" s="13" t="n"/>
      <x:c r="W33" s="15">
        <x:f>IFERROR(MAX(0,Q33-V33),0)</x:f>
        <x:v>0</x:v>
      </x:c>
      <x:c r="X33" s="11" t="str">
        <x:f>IF((Parameters!$B$3-SUM($M$2:M33))&lt;Parameters!$B$4,"Warning","OK")</x:f>
        <x:v>Warning</x:v>
      </x:c>
      <x:c r="Y33" s="13" t="n"/>
    </x:row>
    <x:row r="34">
      <x:c r="A34" s="11" t="str">
        <x:f>"RUN-"&amp;TEXT(33,"000")</x:f>
        <x:v>RUN-033</x:v>
      </x:c>
      <x:c r="B34" s="12" t="n"/>
      <x:c r="C34" s="11">
        <x:f>IF(B34&lt;&gt;"",MONTH(B34),"")</x:f>
      </x:c>
      <x:c r="D34" s="13" t="n"/>
      <x:c r="E34" s="13" t="n"/>
      <x:c r="F34" s="13" t="n"/>
      <x:c r="G34" s="13" t="n"/>
      <x:c r="H34" s="14" t="n"/>
      <x:c r="I34" s="14" t="n"/>
      <x:c r="J34" s="14" t="n"/>
      <x:c r="K34" s="14" t="n"/>
      <x:c r="L34" s="14" t="n"/>
      <x:c r="M34" s="15">
        <x:f>IFERROR(H34+K34+L34,0)</x:f>
        <x:v>0</x:v>
      </x:c>
      <x:c r="N34" s="16">
        <x:f>IFERROR(M34*Parameters!$B$2,0)</x:f>
        <x:v>0</x:v>
      </x:c>
      <x:c r="O34" s="16">
        <x:f>IFERROR(K34*Parameters!$B$2,0)</x:f>
        <x:v>0</x:v>
      </x:c>
      <x:c r="P34" s="16">
        <x:f>IFERROR(L34*Parameters!$B$2,0)</x:f>
        <x:v>0</x:v>
      </x:c>
      <x:c r="Q34" s="16">
        <x:f>IFERROR(H34*I34,0)</x:f>
        <x:v>0</x:v>
      </x:c>
      <x:c r="R34" s="16">
        <x:f>IFERROR(Q34-(H34*Parameters!$B$2),0)</x:f>
        <x:v>0</x:v>
      </x:c>
      <x:c r="S34" s="16">
        <x:f>IFERROR(R34-J34,0)</x:f>
        <x:v>0</x:v>
      </x:c>
      <x:c r="T34" s="16">
        <x:f>IFERROR(S34*Parameters!$B$5,0)</x:f>
        <x:v>0</x:v>
      </x:c>
      <x:c r="U34" s="16">
        <x:f>IFERROR(S34*Parameters!$B$6,0)</x:f>
        <x:v>0</x:v>
      </x:c>
      <x:c r="V34" s="13" t="n"/>
      <x:c r="W34" s="15">
        <x:f>IFERROR(MAX(0,Q34-V34),0)</x:f>
        <x:v>0</x:v>
      </x:c>
      <x:c r="X34" s="11" t="str">
        <x:f>IF((Parameters!$B$3-SUM($M$2:M34))&lt;Parameters!$B$4,"Warning","OK")</x:f>
        <x:v>Warning</x:v>
      </x:c>
      <x:c r="Y34" s="13" t="n"/>
    </x:row>
    <x:row r="35">
      <x:c r="A35" s="11" t="str">
        <x:f>"RUN-"&amp;TEXT(34,"000")</x:f>
        <x:v>RUN-034</x:v>
      </x:c>
      <x:c r="B35" s="12" t="n"/>
      <x:c r="C35" s="11">
        <x:f>IF(B35&lt;&gt;"",MONTH(B35),"")</x:f>
      </x:c>
      <x:c r="D35" s="13" t="n"/>
      <x:c r="E35" s="13" t="n"/>
      <x:c r="F35" s="13" t="n"/>
      <x:c r="G35" s="13" t="n"/>
      <x:c r="H35" s="14" t="n"/>
      <x:c r="I35" s="14" t="n"/>
      <x:c r="J35" s="14" t="n"/>
      <x:c r="K35" s="14" t="n"/>
      <x:c r="L35" s="14" t="n"/>
      <x:c r="M35" s="15">
        <x:f>IFERROR(H35+K35+L35,0)</x:f>
        <x:v>0</x:v>
      </x:c>
      <x:c r="N35" s="16">
        <x:f>IFERROR(M35*Parameters!$B$2,0)</x:f>
        <x:v>0</x:v>
      </x:c>
      <x:c r="O35" s="16">
        <x:f>IFERROR(K35*Parameters!$B$2,0)</x:f>
        <x:v>0</x:v>
      </x:c>
      <x:c r="P35" s="16">
        <x:f>IFERROR(L35*Parameters!$B$2,0)</x:f>
        <x:v>0</x:v>
      </x:c>
      <x:c r="Q35" s="16">
        <x:f>IFERROR(H35*I35,0)</x:f>
        <x:v>0</x:v>
      </x:c>
      <x:c r="R35" s="16">
        <x:f>IFERROR(Q35-(H35*Parameters!$B$2),0)</x:f>
        <x:v>0</x:v>
      </x:c>
      <x:c r="S35" s="16">
        <x:f>IFERROR(R35-J35,0)</x:f>
        <x:v>0</x:v>
      </x:c>
      <x:c r="T35" s="16">
        <x:f>IFERROR(S35*Parameters!$B$5,0)</x:f>
        <x:v>0</x:v>
      </x:c>
      <x:c r="U35" s="16">
        <x:f>IFERROR(S35*Parameters!$B$6,0)</x:f>
        <x:v>0</x:v>
      </x:c>
      <x:c r="V35" s="13" t="n"/>
      <x:c r="W35" s="15">
        <x:f>IFERROR(MAX(0,Q35-V35),0)</x:f>
        <x:v>0</x:v>
      </x:c>
      <x:c r="X35" s="11" t="str">
        <x:f>IF((Parameters!$B$3-SUM($M$2:M35))&lt;Parameters!$B$4,"Warning","OK")</x:f>
        <x:v>Warning</x:v>
      </x:c>
      <x:c r="Y35" s="13" t="n"/>
    </x:row>
    <x:row r="36">
      <x:c r="A36" s="11" t="str">
        <x:f>"RUN-"&amp;TEXT(35,"000")</x:f>
        <x:v>RUN-035</x:v>
      </x:c>
      <x:c r="B36" s="12" t="n"/>
      <x:c r="C36" s="11">
        <x:f>IF(B36&lt;&gt;"",MONTH(B36),"")</x:f>
      </x:c>
      <x:c r="D36" s="13" t="n"/>
      <x:c r="E36" s="13" t="n"/>
      <x:c r="F36" s="13" t="n"/>
      <x:c r="G36" s="13" t="n"/>
      <x:c r="H36" s="14" t="n"/>
      <x:c r="I36" s="14" t="n"/>
      <x:c r="J36" s="14" t="n"/>
      <x:c r="K36" s="14" t="n"/>
      <x:c r="L36" s="14" t="n"/>
      <x:c r="M36" s="15">
        <x:f>IFERROR(H36+K36+L36,0)</x:f>
        <x:v>0</x:v>
      </x:c>
      <x:c r="N36" s="16">
        <x:f>IFERROR(M36*Parameters!$B$2,0)</x:f>
        <x:v>0</x:v>
      </x:c>
      <x:c r="O36" s="16">
        <x:f>IFERROR(K36*Parameters!$B$2,0)</x:f>
        <x:v>0</x:v>
      </x:c>
      <x:c r="P36" s="16">
        <x:f>IFERROR(L36*Parameters!$B$2,0)</x:f>
        <x:v>0</x:v>
      </x:c>
      <x:c r="Q36" s="16">
        <x:f>IFERROR(H36*I36,0)</x:f>
        <x:v>0</x:v>
      </x:c>
      <x:c r="R36" s="16">
        <x:f>IFERROR(Q36-(H36*Parameters!$B$2),0)</x:f>
        <x:v>0</x:v>
      </x:c>
      <x:c r="S36" s="16">
        <x:f>IFERROR(R36-J36,0)</x:f>
        <x:v>0</x:v>
      </x:c>
      <x:c r="T36" s="16">
        <x:f>IFERROR(S36*Parameters!$B$5,0)</x:f>
        <x:v>0</x:v>
      </x:c>
      <x:c r="U36" s="16">
        <x:f>IFERROR(S36*Parameters!$B$6,0)</x:f>
        <x:v>0</x:v>
      </x:c>
      <x:c r="V36" s="13" t="n"/>
      <x:c r="W36" s="15">
        <x:f>IFERROR(MAX(0,Q36-V36),0)</x:f>
        <x:v>0</x:v>
      </x:c>
      <x:c r="X36" s="11" t="str">
        <x:f>IF((Parameters!$B$3-SUM($M$2:M36))&lt;Parameters!$B$4,"Warning","OK")</x:f>
        <x:v>Warning</x:v>
      </x:c>
      <x:c r="Y36" s="13" t="n"/>
    </x:row>
    <x:row r="37">
      <x:c r="A37" s="11" t="str">
        <x:f>"RUN-"&amp;TEXT(36,"000")</x:f>
        <x:v>RUN-036</x:v>
      </x:c>
      <x:c r="B37" s="12" t="n"/>
      <x:c r="C37" s="11">
        <x:f>IF(B37&lt;&gt;"",MONTH(B37),"")</x:f>
      </x:c>
      <x:c r="D37" s="13" t="n"/>
      <x:c r="E37" s="13" t="n"/>
      <x:c r="F37" s="13" t="n"/>
      <x:c r="G37" s="13" t="n"/>
      <x:c r="H37" s="14" t="n"/>
      <x:c r="I37" s="14" t="n"/>
      <x:c r="J37" s="14" t="n"/>
      <x:c r="K37" s="14" t="n"/>
      <x:c r="L37" s="14" t="n"/>
      <x:c r="M37" s="15">
        <x:f>IFERROR(H37+K37+L37,0)</x:f>
        <x:v>0</x:v>
      </x:c>
      <x:c r="N37" s="16">
        <x:f>IFERROR(M37*Parameters!$B$2,0)</x:f>
        <x:v>0</x:v>
      </x:c>
      <x:c r="O37" s="16">
        <x:f>IFERROR(K37*Parameters!$B$2,0)</x:f>
        <x:v>0</x:v>
      </x:c>
      <x:c r="P37" s="16">
        <x:f>IFERROR(L37*Parameters!$B$2,0)</x:f>
        <x:v>0</x:v>
      </x:c>
      <x:c r="Q37" s="16">
        <x:f>IFERROR(H37*I37,0)</x:f>
        <x:v>0</x:v>
      </x:c>
      <x:c r="R37" s="16">
        <x:f>IFERROR(Q37-(H37*Parameters!$B$2),0)</x:f>
        <x:v>0</x:v>
      </x:c>
      <x:c r="S37" s="16">
        <x:f>IFERROR(R37-J37,0)</x:f>
        <x:v>0</x:v>
      </x:c>
      <x:c r="T37" s="16">
        <x:f>IFERROR(S37*Parameters!$B$5,0)</x:f>
        <x:v>0</x:v>
      </x:c>
      <x:c r="U37" s="16">
        <x:f>IFERROR(S37*Parameters!$B$6,0)</x:f>
        <x:v>0</x:v>
      </x:c>
      <x:c r="V37" s="13" t="n"/>
      <x:c r="W37" s="15">
        <x:f>IFERROR(MAX(0,Q37-V37),0)</x:f>
        <x:v>0</x:v>
      </x:c>
      <x:c r="X37" s="11" t="str">
        <x:f>IF((Parameters!$B$3-SUM($M$2:M37))&lt;Parameters!$B$4,"Warning","OK")</x:f>
        <x:v>Warning</x:v>
      </x:c>
      <x:c r="Y37" s="13" t="n"/>
    </x:row>
    <x:row r="38">
      <x:c r="A38" s="11" t="str">
        <x:f>"RUN-"&amp;TEXT(37,"000")</x:f>
        <x:v>RUN-037</x:v>
      </x:c>
      <x:c r="B38" s="12" t="n"/>
      <x:c r="C38" s="11">
        <x:f>IF(B38&lt;&gt;"",MONTH(B38),"")</x:f>
      </x:c>
      <x:c r="D38" s="13" t="n"/>
      <x:c r="E38" s="13" t="n"/>
      <x:c r="F38" s="13" t="n"/>
      <x:c r="G38" s="13" t="n"/>
      <x:c r="H38" s="14" t="n"/>
      <x:c r="I38" s="14" t="n"/>
      <x:c r="J38" s="14" t="n"/>
      <x:c r="K38" s="14" t="n"/>
      <x:c r="L38" s="14" t="n"/>
      <x:c r="M38" s="15">
        <x:f>IFERROR(H38+K38+L38,0)</x:f>
        <x:v>0</x:v>
      </x:c>
      <x:c r="N38" s="16">
        <x:f>IFERROR(M38*Parameters!$B$2,0)</x:f>
        <x:v>0</x:v>
      </x:c>
      <x:c r="O38" s="16">
        <x:f>IFERROR(K38*Parameters!$B$2,0)</x:f>
        <x:v>0</x:v>
      </x:c>
      <x:c r="P38" s="16">
        <x:f>IFERROR(L38*Parameters!$B$2,0)</x:f>
        <x:v>0</x:v>
      </x:c>
      <x:c r="Q38" s="16">
        <x:f>IFERROR(H38*I38,0)</x:f>
        <x:v>0</x:v>
      </x:c>
      <x:c r="R38" s="16">
        <x:f>IFERROR(Q38-(H38*Parameters!$B$2),0)</x:f>
        <x:v>0</x:v>
      </x:c>
      <x:c r="S38" s="16">
        <x:f>IFERROR(R38-J38,0)</x:f>
        <x:v>0</x:v>
      </x:c>
      <x:c r="T38" s="16">
        <x:f>IFERROR(S38*Parameters!$B$5,0)</x:f>
        <x:v>0</x:v>
      </x:c>
      <x:c r="U38" s="16">
        <x:f>IFERROR(S38*Parameters!$B$6,0)</x:f>
        <x:v>0</x:v>
      </x:c>
      <x:c r="V38" s="13" t="n"/>
      <x:c r="W38" s="15">
        <x:f>IFERROR(MAX(0,Q38-V38),0)</x:f>
        <x:v>0</x:v>
      </x:c>
      <x:c r="X38" s="11" t="str">
        <x:f>IF((Parameters!$B$3-SUM($M$2:M38))&lt;Parameters!$B$4,"Warning","OK")</x:f>
        <x:v>Warning</x:v>
      </x:c>
      <x:c r="Y38" s="13" t="n"/>
    </x:row>
    <x:row r="39">
      <x:c r="A39" s="11" t="str">
        <x:f>"RUN-"&amp;TEXT(38,"000")</x:f>
        <x:v>RUN-038</x:v>
      </x:c>
      <x:c r="B39" s="12" t="n"/>
      <x:c r="C39" s="11">
        <x:f>IF(B39&lt;&gt;"",MONTH(B39),"")</x:f>
      </x:c>
      <x:c r="D39" s="13" t="n"/>
      <x:c r="E39" s="13" t="n"/>
      <x:c r="F39" s="13" t="n"/>
      <x:c r="G39" s="13" t="n"/>
      <x:c r="H39" s="14" t="n"/>
      <x:c r="I39" s="14" t="n"/>
      <x:c r="J39" s="14" t="n"/>
      <x:c r="K39" s="14" t="n"/>
      <x:c r="L39" s="14" t="n"/>
      <x:c r="M39" s="15">
        <x:f>IFERROR(H39+K39+L39,0)</x:f>
        <x:v>0</x:v>
      </x:c>
      <x:c r="N39" s="16">
        <x:f>IFERROR(M39*Parameters!$B$2,0)</x:f>
        <x:v>0</x:v>
      </x:c>
      <x:c r="O39" s="16">
        <x:f>IFERROR(K39*Parameters!$B$2,0)</x:f>
        <x:v>0</x:v>
      </x:c>
      <x:c r="P39" s="16">
        <x:f>IFERROR(L39*Parameters!$B$2,0)</x:f>
        <x:v>0</x:v>
      </x:c>
      <x:c r="Q39" s="16">
        <x:f>IFERROR(H39*I39,0)</x:f>
        <x:v>0</x:v>
      </x:c>
      <x:c r="R39" s="16">
        <x:f>IFERROR(Q39-(H39*Parameters!$B$2),0)</x:f>
        <x:v>0</x:v>
      </x:c>
      <x:c r="S39" s="16">
        <x:f>IFERROR(R39-J39,0)</x:f>
        <x:v>0</x:v>
      </x:c>
      <x:c r="T39" s="16">
        <x:f>IFERROR(S39*Parameters!$B$5,0)</x:f>
        <x:v>0</x:v>
      </x:c>
      <x:c r="U39" s="16">
        <x:f>IFERROR(S39*Parameters!$B$6,0)</x:f>
        <x:v>0</x:v>
      </x:c>
      <x:c r="V39" s="13" t="n"/>
      <x:c r="W39" s="15">
        <x:f>IFERROR(MAX(0,Q39-V39),0)</x:f>
        <x:v>0</x:v>
      </x:c>
      <x:c r="X39" s="11" t="str">
        <x:f>IF((Parameters!$B$3-SUM($M$2:M39))&lt;Parameters!$B$4,"Warning","OK")</x:f>
        <x:v>Warning</x:v>
      </x:c>
      <x:c r="Y39" s="13" t="n"/>
    </x:row>
    <x:row r="40">
      <x:c r="A40" s="11" t="str">
        <x:f>"RUN-"&amp;TEXT(39,"000")</x:f>
        <x:v>RUN-039</x:v>
      </x:c>
      <x:c r="B40" s="12" t="n"/>
      <x:c r="C40" s="11">
        <x:f>IF(B40&lt;&gt;"",MONTH(B40),"")</x:f>
      </x:c>
      <x:c r="D40" s="13" t="n"/>
      <x:c r="E40" s="13" t="n"/>
      <x:c r="F40" s="13" t="n"/>
      <x:c r="G40" s="13" t="n"/>
      <x:c r="H40" s="14" t="n"/>
      <x:c r="I40" s="14" t="n"/>
      <x:c r="J40" s="14" t="n"/>
      <x:c r="K40" s="14" t="n"/>
      <x:c r="L40" s="14" t="n"/>
      <x:c r="M40" s="15">
        <x:f>IFERROR(H40+K40+L40,0)</x:f>
        <x:v>0</x:v>
      </x:c>
      <x:c r="N40" s="16">
        <x:f>IFERROR(M40*Parameters!$B$2,0)</x:f>
        <x:v>0</x:v>
      </x:c>
      <x:c r="O40" s="16">
        <x:f>IFERROR(K40*Parameters!$B$2,0)</x:f>
        <x:v>0</x:v>
      </x:c>
      <x:c r="P40" s="16">
        <x:f>IFERROR(L40*Parameters!$B$2,0)</x:f>
        <x:v>0</x:v>
      </x:c>
      <x:c r="Q40" s="16">
        <x:f>IFERROR(H40*I40,0)</x:f>
        <x:v>0</x:v>
      </x:c>
      <x:c r="R40" s="16">
        <x:f>IFERROR(Q40-(H40*Parameters!$B$2),0)</x:f>
        <x:v>0</x:v>
      </x:c>
      <x:c r="S40" s="16">
        <x:f>IFERROR(R40-J40,0)</x:f>
        <x:v>0</x:v>
      </x:c>
      <x:c r="T40" s="16">
        <x:f>IFERROR(S40*Parameters!$B$5,0)</x:f>
        <x:v>0</x:v>
      </x:c>
      <x:c r="U40" s="16">
        <x:f>IFERROR(S40*Parameters!$B$6,0)</x:f>
        <x:v>0</x:v>
      </x:c>
      <x:c r="V40" s="13" t="n"/>
      <x:c r="W40" s="15">
        <x:f>IFERROR(MAX(0,Q40-V40),0)</x:f>
        <x:v>0</x:v>
      </x:c>
      <x:c r="X40" s="11" t="str">
        <x:f>IF((Parameters!$B$3-SUM($M$2:M40))&lt;Parameters!$B$4,"Warning","OK")</x:f>
        <x:v>Warning</x:v>
      </x:c>
      <x:c r="Y40" s="13" t="n"/>
    </x:row>
    <x:row r="41">
      <x:c r="A41" s="11" t="str">
        <x:f>"RUN-"&amp;TEXT(40,"000")</x:f>
        <x:v>RUN-040</x:v>
      </x:c>
      <x:c r="B41" s="12" t="n"/>
      <x:c r="C41" s="11">
        <x:f>IF(B41&lt;&gt;"",MONTH(B41),"")</x:f>
      </x:c>
      <x:c r="D41" s="13" t="n"/>
      <x:c r="E41" s="13" t="n"/>
      <x:c r="F41" s="13" t="n"/>
      <x:c r="G41" s="13" t="n"/>
      <x:c r="H41" s="14" t="n"/>
      <x:c r="I41" s="14" t="n"/>
      <x:c r="J41" s="14" t="n"/>
      <x:c r="K41" s="14" t="n"/>
      <x:c r="L41" s="14" t="n"/>
      <x:c r="M41" s="15">
        <x:f>IFERROR(H41+K41+L41,0)</x:f>
        <x:v>0</x:v>
      </x:c>
      <x:c r="N41" s="16">
        <x:f>IFERROR(M41*Parameters!$B$2,0)</x:f>
        <x:v>0</x:v>
      </x:c>
      <x:c r="O41" s="16">
        <x:f>IFERROR(K41*Parameters!$B$2,0)</x:f>
        <x:v>0</x:v>
      </x:c>
      <x:c r="P41" s="16">
        <x:f>IFERROR(L41*Parameters!$B$2,0)</x:f>
        <x:v>0</x:v>
      </x:c>
      <x:c r="Q41" s="16">
        <x:f>IFERROR(H41*I41,0)</x:f>
        <x:v>0</x:v>
      </x:c>
      <x:c r="R41" s="16">
        <x:f>IFERROR(Q41-(H41*Parameters!$B$2),0)</x:f>
        <x:v>0</x:v>
      </x:c>
      <x:c r="S41" s="16">
        <x:f>IFERROR(R41-J41,0)</x:f>
        <x:v>0</x:v>
      </x:c>
      <x:c r="T41" s="16">
        <x:f>IFERROR(S41*Parameters!$B$5,0)</x:f>
        <x:v>0</x:v>
      </x:c>
      <x:c r="U41" s="16">
        <x:f>IFERROR(S41*Parameters!$B$6,0)</x:f>
        <x:v>0</x:v>
      </x:c>
      <x:c r="V41" s="13" t="n"/>
      <x:c r="W41" s="15">
        <x:f>IFERROR(MAX(0,Q41-V41),0)</x:f>
        <x:v>0</x:v>
      </x:c>
      <x:c r="X41" s="11" t="str">
        <x:f>IF((Parameters!$B$3-SUM($M$2:M41))&lt;Parameters!$B$4,"Warning","OK")</x:f>
        <x:v>Warning</x:v>
      </x:c>
      <x:c r="Y41" s="13" t="n"/>
    </x:row>
    <x:row r="42">
      <x:c r="A42" s="11" t="str">
        <x:f>"RUN-"&amp;TEXT(41,"000")</x:f>
        <x:v>RUN-041</x:v>
      </x:c>
      <x:c r="B42" s="12" t="n"/>
      <x:c r="C42" s="11">
        <x:f>IF(B42&lt;&gt;"",MONTH(B42),"")</x:f>
      </x:c>
      <x:c r="D42" s="13" t="n"/>
      <x:c r="E42" s="13" t="n"/>
      <x:c r="F42" s="13" t="n"/>
      <x:c r="G42" s="13" t="n"/>
      <x:c r="H42" s="14" t="n"/>
      <x:c r="I42" s="14" t="n"/>
      <x:c r="J42" s="14" t="n"/>
      <x:c r="K42" s="14" t="n"/>
      <x:c r="L42" s="14" t="n"/>
      <x:c r="M42" s="15">
        <x:f>IFERROR(H42+K42+L42,0)</x:f>
        <x:v>0</x:v>
      </x:c>
      <x:c r="N42" s="16">
        <x:f>IFERROR(M42*Parameters!$B$2,0)</x:f>
        <x:v>0</x:v>
      </x:c>
      <x:c r="O42" s="16">
        <x:f>IFERROR(K42*Parameters!$B$2,0)</x:f>
        <x:v>0</x:v>
      </x:c>
      <x:c r="P42" s="16">
        <x:f>IFERROR(L42*Parameters!$B$2,0)</x:f>
        <x:v>0</x:v>
      </x:c>
      <x:c r="Q42" s="16">
        <x:f>IFERROR(H42*I42,0)</x:f>
        <x:v>0</x:v>
      </x:c>
      <x:c r="R42" s="16">
        <x:f>IFERROR(Q42-(H42*Parameters!$B$2),0)</x:f>
        <x:v>0</x:v>
      </x:c>
      <x:c r="S42" s="16">
        <x:f>IFERROR(R42-J42,0)</x:f>
        <x:v>0</x:v>
      </x:c>
      <x:c r="T42" s="16">
        <x:f>IFERROR(S42*Parameters!$B$5,0)</x:f>
        <x:v>0</x:v>
      </x:c>
      <x:c r="U42" s="16">
        <x:f>IFERROR(S42*Parameters!$B$6,0)</x:f>
        <x:v>0</x:v>
      </x:c>
      <x:c r="V42" s="13" t="n"/>
      <x:c r="W42" s="15">
        <x:f>IFERROR(MAX(0,Q42-V42),0)</x:f>
        <x:v>0</x:v>
      </x:c>
      <x:c r="X42" s="11" t="str">
        <x:f>IF((Parameters!$B$3-SUM($M$2:M42))&lt;Parameters!$B$4,"Warning","OK")</x:f>
        <x:v>Warning</x:v>
      </x:c>
      <x:c r="Y42" s="13" t="n"/>
    </x:row>
    <x:row r="43">
      <x:c r="A43" s="11" t="str">
        <x:f>"RUN-"&amp;TEXT(42,"000")</x:f>
        <x:v>RUN-042</x:v>
      </x:c>
      <x:c r="B43" s="12" t="n"/>
      <x:c r="C43" s="11">
        <x:f>IF(B43&lt;&gt;"",MONTH(B43),"")</x:f>
      </x:c>
      <x:c r="D43" s="13" t="n"/>
      <x:c r="E43" s="13" t="n"/>
      <x:c r="F43" s="13" t="n"/>
      <x:c r="G43" s="13" t="n"/>
      <x:c r="H43" s="14" t="n"/>
      <x:c r="I43" s="14" t="n"/>
      <x:c r="J43" s="14" t="n"/>
      <x:c r="K43" s="14" t="n"/>
      <x:c r="L43" s="14" t="n"/>
      <x:c r="M43" s="15">
        <x:f>IFERROR(H43+K43+L43,0)</x:f>
        <x:v>0</x:v>
      </x:c>
      <x:c r="N43" s="16">
        <x:f>IFERROR(M43*Parameters!$B$2,0)</x:f>
        <x:v>0</x:v>
      </x:c>
      <x:c r="O43" s="16">
        <x:f>IFERROR(K43*Parameters!$B$2,0)</x:f>
        <x:v>0</x:v>
      </x:c>
      <x:c r="P43" s="16">
        <x:f>IFERROR(L43*Parameters!$B$2,0)</x:f>
        <x:v>0</x:v>
      </x:c>
      <x:c r="Q43" s="16">
        <x:f>IFERROR(H43*I43,0)</x:f>
        <x:v>0</x:v>
      </x:c>
      <x:c r="R43" s="16">
        <x:f>IFERROR(Q43-(H43*Parameters!$B$2),0)</x:f>
        <x:v>0</x:v>
      </x:c>
      <x:c r="S43" s="16">
        <x:f>IFERROR(R43-J43,0)</x:f>
        <x:v>0</x:v>
      </x:c>
      <x:c r="T43" s="16">
        <x:f>IFERROR(S43*Parameters!$B$5,0)</x:f>
        <x:v>0</x:v>
      </x:c>
      <x:c r="U43" s="16">
        <x:f>IFERROR(S43*Parameters!$B$6,0)</x:f>
        <x:v>0</x:v>
      </x:c>
      <x:c r="V43" s="13" t="n"/>
      <x:c r="W43" s="15">
        <x:f>IFERROR(MAX(0,Q43-V43),0)</x:f>
        <x:v>0</x:v>
      </x:c>
      <x:c r="X43" s="11" t="str">
        <x:f>IF((Parameters!$B$3-SUM($M$2:M43))&lt;Parameters!$B$4,"Warning","OK")</x:f>
        <x:v>Warning</x:v>
      </x:c>
      <x:c r="Y43" s="13" t="n"/>
    </x:row>
    <x:row r="44">
      <x:c r="A44" s="11" t="str">
        <x:f>"RUN-"&amp;TEXT(43,"000")</x:f>
        <x:v>RUN-043</x:v>
      </x:c>
      <x:c r="B44" s="12" t="n"/>
      <x:c r="C44" s="11">
        <x:f>IF(B44&lt;&gt;"",MONTH(B44),"")</x:f>
      </x:c>
      <x:c r="D44" s="13" t="n"/>
      <x:c r="E44" s="13" t="n"/>
      <x:c r="F44" s="13" t="n"/>
      <x:c r="G44" s="13" t="n"/>
      <x:c r="H44" s="14" t="n"/>
      <x:c r="I44" s="14" t="n"/>
      <x:c r="J44" s="14" t="n"/>
      <x:c r="K44" s="14" t="n"/>
      <x:c r="L44" s="14" t="n"/>
      <x:c r="M44" s="15">
        <x:f>IFERROR(H44+K44+L44,0)</x:f>
        <x:v>0</x:v>
      </x:c>
      <x:c r="N44" s="16">
        <x:f>IFERROR(M44*Parameters!$B$2,0)</x:f>
        <x:v>0</x:v>
      </x:c>
      <x:c r="O44" s="16">
        <x:f>IFERROR(K44*Parameters!$B$2,0)</x:f>
        <x:v>0</x:v>
      </x:c>
      <x:c r="P44" s="16">
        <x:f>IFERROR(L44*Parameters!$B$2,0)</x:f>
        <x:v>0</x:v>
      </x:c>
      <x:c r="Q44" s="16">
        <x:f>IFERROR(H44*I44,0)</x:f>
        <x:v>0</x:v>
      </x:c>
      <x:c r="R44" s="16">
        <x:f>IFERROR(Q44-(H44*Parameters!$B$2),0)</x:f>
        <x:v>0</x:v>
      </x:c>
      <x:c r="S44" s="16">
        <x:f>IFERROR(R44-J44,0)</x:f>
        <x:v>0</x:v>
      </x:c>
      <x:c r="T44" s="16">
        <x:f>IFERROR(S44*Parameters!$B$5,0)</x:f>
        <x:v>0</x:v>
      </x:c>
      <x:c r="U44" s="16">
        <x:f>IFERROR(S44*Parameters!$B$6,0)</x:f>
        <x:v>0</x:v>
      </x:c>
      <x:c r="V44" s="13" t="n"/>
      <x:c r="W44" s="15">
        <x:f>IFERROR(MAX(0,Q44-V44),0)</x:f>
        <x:v>0</x:v>
      </x:c>
      <x:c r="X44" s="11" t="str">
        <x:f>IF((Parameters!$B$3-SUM($M$2:M44))&lt;Parameters!$B$4,"Warning","OK")</x:f>
        <x:v>Warning</x:v>
      </x:c>
      <x:c r="Y44" s="13" t="n"/>
    </x:row>
    <x:row r="45">
      <x:c r="A45" s="11" t="str">
        <x:f>"RUN-"&amp;TEXT(44,"000")</x:f>
        <x:v>RUN-044</x:v>
      </x:c>
      <x:c r="B45" s="12" t="n"/>
      <x:c r="C45" s="11">
        <x:f>IF(B45&lt;&gt;"",MONTH(B45),"")</x:f>
      </x:c>
      <x:c r="D45" s="13" t="n"/>
      <x:c r="E45" s="13" t="n"/>
      <x:c r="F45" s="13" t="n"/>
      <x:c r="G45" s="13" t="n"/>
      <x:c r="H45" s="14" t="n"/>
      <x:c r="I45" s="14" t="n"/>
      <x:c r="J45" s="14" t="n"/>
      <x:c r="K45" s="14" t="n"/>
      <x:c r="L45" s="14" t="n"/>
      <x:c r="M45" s="15">
        <x:f>IFERROR(H45+K45+L45,0)</x:f>
        <x:v>0</x:v>
      </x:c>
      <x:c r="N45" s="16">
        <x:f>IFERROR(M45*Parameters!$B$2,0)</x:f>
        <x:v>0</x:v>
      </x:c>
      <x:c r="O45" s="16">
        <x:f>IFERROR(K45*Parameters!$B$2,0)</x:f>
        <x:v>0</x:v>
      </x:c>
      <x:c r="P45" s="16">
        <x:f>IFERROR(L45*Parameters!$B$2,0)</x:f>
        <x:v>0</x:v>
      </x:c>
      <x:c r="Q45" s="16">
        <x:f>IFERROR(H45*I45,0)</x:f>
        <x:v>0</x:v>
      </x:c>
      <x:c r="R45" s="16">
        <x:f>IFERROR(Q45-(H45*Parameters!$B$2),0)</x:f>
        <x:v>0</x:v>
      </x:c>
      <x:c r="S45" s="16">
        <x:f>IFERROR(R45-J45,0)</x:f>
        <x:v>0</x:v>
      </x:c>
      <x:c r="T45" s="16">
        <x:f>IFERROR(S45*Parameters!$B$5,0)</x:f>
        <x:v>0</x:v>
      </x:c>
      <x:c r="U45" s="16">
        <x:f>IFERROR(S45*Parameters!$B$6,0)</x:f>
        <x:v>0</x:v>
      </x:c>
      <x:c r="V45" s="13" t="n"/>
      <x:c r="W45" s="15">
        <x:f>IFERROR(MAX(0,Q45-V45),0)</x:f>
        <x:v>0</x:v>
      </x:c>
      <x:c r="X45" s="11" t="str">
        <x:f>IF((Parameters!$B$3-SUM($M$2:M45))&lt;Parameters!$B$4,"Warning","OK")</x:f>
        <x:v>Warning</x:v>
      </x:c>
      <x:c r="Y45" s="13" t="n"/>
    </x:row>
    <x:row r="46">
      <x:c r="A46" s="11" t="str">
        <x:f>"RUN-"&amp;TEXT(45,"000")</x:f>
        <x:v>RUN-045</x:v>
      </x:c>
      <x:c r="B46" s="12" t="n"/>
      <x:c r="C46" s="11">
        <x:f>IF(B46&lt;&gt;"",MONTH(B46),"")</x:f>
      </x:c>
      <x:c r="D46" s="13" t="n"/>
      <x:c r="E46" s="13" t="n"/>
      <x:c r="F46" s="13" t="n"/>
      <x:c r="G46" s="13" t="n"/>
      <x:c r="H46" s="14" t="n"/>
      <x:c r="I46" s="14" t="n"/>
      <x:c r="J46" s="14" t="n"/>
      <x:c r="K46" s="14" t="n"/>
      <x:c r="L46" s="14" t="n"/>
      <x:c r="M46" s="15">
        <x:f>IFERROR(H46+K46+L46,0)</x:f>
        <x:v>0</x:v>
      </x:c>
      <x:c r="N46" s="16">
        <x:f>IFERROR(M46*Parameters!$B$2,0)</x:f>
        <x:v>0</x:v>
      </x:c>
      <x:c r="O46" s="16">
        <x:f>IFERROR(K46*Parameters!$B$2,0)</x:f>
        <x:v>0</x:v>
      </x:c>
      <x:c r="P46" s="16">
        <x:f>IFERROR(L46*Parameters!$B$2,0)</x:f>
        <x:v>0</x:v>
      </x:c>
      <x:c r="Q46" s="16">
        <x:f>IFERROR(H46*I46,0)</x:f>
        <x:v>0</x:v>
      </x:c>
      <x:c r="R46" s="16">
        <x:f>IFERROR(Q46-(H46*Parameters!$B$2),0)</x:f>
        <x:v>0</x:v>
      </x:c>
      <x:c r="S46" s="16">
        <x:f>IFERROR(R46-J46,0)</x:f>
        <x:v>0</x:v>
      </x:c>
      <x:c r="T46" s="16">
        <x:f>IFERROR(S46*Parameters!$B$5,0)</x:f>
        <x:v>0</x:v>
      </x:c>
      <x:c r="U46" s="16">
        <x:f>IFERROR(S46*Parameters!$B$6,0)</x:f>
        <x:v>0</x:v>
      </x:c>
      <x:c r="V46" s="13" t="n"/>
      <x:c r="W46" s="15">
        <x:f>IFERROR(MAX(0,Q46-V46),0)</x:f>
        <x:v>0</x:v>
      </x:c>
      <x:c r="X46" s="11" t="str">
        <x:f>IF((Parameters!$B$3-SUM($M$2:M46))&lt;Parameters!$B$4,"Warning","OK")</x:f>
        <x:v>Warning</x:v>
      </x:c>
      <x:c r="Y46" s="13" t="n"/>
    </x:row>
    <x:row r="47">
      <x:c r="A47" s="11" t="str">
        <x:f>"RUN-"&amp;TEXT(46,"000")</x:f>
        <x:v>RUN-046</x:v>
      </x:c>
      <x:c r="B47" s="12" t="n"/>
      <x:c r="C47" s="11">
        <x:f>IF(B47&lt;&gt;"",MONTH(B47),"")</x:f>
      </x:c>
      <x:c r="D47" s="13" t="n"/>
      <x:c r="E47" s="13" t="n"/>
      <x:c r="F47" s="13" t="n"/>
      <x:c r="G47" s="13" t="n"/>
      <x:c r="H47" s="14" t="n"/>
      <x:c r="I47" s="14" t="n"/>
      <x:c r="J47" s="14" t="n"/>
      <x:c r="K47" s="14" t="n"/>
      <x:c r="L47" s="14" t="n"/>
      <x:c r="M47" s="15">
        <x:f>IFERROR(H47+K47+L47,0)</x:f>
        <x:v>0</x:v>
      </x:c>
      <x:c r="N47" s="16">
        <x:f>IFERROR(M47*Parameters!$B$2,0)</x:f>
        <x:v>0</x:v>
      </x:c>
      <x:c r="O47" s="16">
        <x:f>IFERROR(K47*Parameters!$B$2,0)</x:f>
        <x:v>0</x:v>
      </x:c>
      <x:c r="P47" s="16">
        <x:f>IFERROR(L47*Parameters!$B$2,0)</x:f>
        <x:v>0</x:v>
      </x:c>
      <x:c r="Q47" s="16">
        <x:f>IFERROR(H47*I47,0)</x:f>
        <x:v>0</x:v>
      </x:c>
      <x:c r="R47" s="16">
        <x:f>IFERROR(Q47-(H47*Parameters!$B$2),0)</x:f>
        <x:v>0</x:v>
      </x:c>
      <x:c r="S47" s="16">
        <x:f>IFERROR(R47-J47,0)</x:f>
        <x:v>0</x:v>
      </x:c>
      <x:c r="T47" s="16">
        <x:f>IFERROR(S47*Parameters!$B$5,0)</x:f>
        <x:v>0</x:v>
      </x:c>
      <x:c r="U47" s="16">
        <x:f>IFERROR(S47*Parameters!$B$6,0)</x:f>
        <x:v>0</x:v>
      </x:c>
      <x:c r="V47" s="13" t="n"/>
      <x:c r="W47" s="15">
        <x:f>IFERROR(MAX(0,Q47-V47),0)</x:f>
        <x:v>0</x:v>
      </x:c>
      <x:c r="X47" s="11" t="str">
        <x:f>IF((Parameters!$B$3-SUM($M$2:M47))&lt;Parameters!$B$4,"Warning","OK")</x:f>
        <x:v>Warning</x:v>
      </x:c>
      <x:c r="Y47" s="13" t="n"/>
    </x:row>
    <x:row r="48">
      <x:c r="A48" s="11" t="str">
        <x:f>"RUN-"&amp;TEXT(47,"000")</x:f>
        <x:v>RUN-047</x:v>
      </x:c>
      <x:c r="B48" s="12" t="n"/>
      <x:c r="C48" s="11">
        <x:f>IF(B48&lt;&gt;"",MONTH(B48),"")</x:f>
      </x:c>
      <x:c r="D48" s="13" t="n"/>
      <x:c r="E48" s="13" t="n"/>
      <x:c r="F48" s="13" t="n"/>
      <x:c r="G48" s="13" t="n"/>
      <x:c r="H48" s="14" t="n"/>
      <x:c r="I48" s="14" t="n"/>
      <x:c r="J48" s="14" t="n"/>
      <x:c r="K48" s="14" t="n"/>
      <x:c r="L48" s="14" t="n"/>
      <x:c r="M48" s="15">
        <x:f>IFERROR(H48+K48+L48,0)</x:f>
        <x:v>0</x:v>
      </x:c>
      <x:c r="N48" s="16">
        <x:f>IFERROR(M48*Parameters!$B$2,0)</x:f>
        <x:v>0</x:v>
      </x:c>
      <x:c r="O48" s="16">
        <x:f>IFERROR(K48*Parameters!$B$2,0)</x:f>
        <x:v>0</x:v>
      </x:c>
      <x:c r="P48" s="16">
        <x:f>IFERROR(L48*Parameters!$B$2,0)</x:f>
        <x:v>0</x:v>
      </x:c>
      <x:c r="Q48" s="16">
        <x:f>IFERROR(H48*I48,0)</x:f>
        <x:v>0</x:v>
      </x:c>
      <x:c r="R48" s="16">
        <x:f>IFERROR(Q48-(H48*Parameters!$B$2),0)</x:f>
        <x:v>0</x:v>
      </x:c>
      <x:c r="S48" s="16">
        <x:f>IFERROR(R48-J48,0)</x:f>
        <x:v>0</x:v>
      </x:c>
      <x:c r="T48" s="16">
        <x:f>IFERROR(S48*Parameters!$B$5,0)</x:f>
        <x:v>0</x:v>
      </x:c>
      <x:c r="U48" s="16">
        <x:f>IFERROR(S48*Parameters!$B$6,0)</x:f>
        <x:v>0</x:v>
      </x:c>
      <x:c r="V48" s="13" t="n"/>
      <x:c r="W48" s="15">
        <x:f>IFERROR(MAX(0,Q48-V48),0)</x:f>
        <x:v>0</x:v>
      </x:c>
      <x:c r="X48" s="11" t="str">
        <x:f>IF((Parameters!$B$3-SUM($M$2:M48))&lt;Parameters!$B$4,"Warning","OK")</x:f>
        <x:v>Warning</x:v>
      </x:c>
      <x:c r="Y48" s="13" t="n"/>
    </x:row>
    <x:row r="49">
      <x:c r="A49" s="11" t="str">
        <x:f>"RUN-"&amp;TEXT(48,"000")</x:f>
        <x:v>RUN-048</x:v>
      </x:c>
      <x:c r="B49" s="12" t="n"/>
      <x:c r="C49" s="11">
        <x:f>IF(B49&lt;&gt;"",MONTH(B49),"")</x:f>
      </x:c>
      <x:c r="D49" s="13" t="n"/>
      <x:c r="E49" s="13" t="n"/>
      <x:c r="F49" s="13" t="n"/>
      <x:c r="G49" s="13" t="n"/>
      <x:c r="H49" s="14" t="n"/>
      <x:c r="I49" s="14" t="n"/>
      <x:c r="J49" s="14" t="n"/>
      <x:c r="K49" s="14" t="n"/>
      <x:c r="L49" s="14" t="n"/>
      <x:c r="M49" s="15">
        <x:f>IFERROR(H49+K49+L49,0)</x:f>
        <x:v>0</x:v>
      </x:c>
      <x:c r="N49" s="16">
        <x:f>IFERROR(M49*Parameters!$B$2,0)</x:f>
        <x:v>0</x:v>
      </x:c>
      <x:c r="O49" s="16">
        <x:f>IFERROR(K49*Parameters!$B$2,0)</x:f>
        <x:v>0</x:v>
      </x:c>
      <x:c r="P49" s="16">
        <x:f>IFERROR(L49*Parameters!$B$2,0)</x:f>
        <x:v>0</x:v>
      </x:c>
      <x:c r="Q49" s="16">
        <x:f>IFERROR(H49*I49,0)</x:f>
        <x:v>0</x:v>
      </x:c>
      <x:c r="R49" s="16">
        <x:f>IFERROR(Q49-(H49*Parameters!$B$2),0)</x:f>
        <x:v>0</x:v>
      </x:c>
      <x:c r="S49" s="16">
        <x:f>IFERROR(R49-J49,0)</x:f>
        <x:v>0</x:v>
      </x:c>
      <x:c r="T49" s="16">
        <x:f>IFERROR(S49*Parameters!$B$5,0)</x:f>
        <x:v>0</x:v>
      </x:c>
      <x:c r="U49" s="16">
        <x:f>IFERROR(S49*Parameters!$B$6,0)</x:f>
        <x:v>0</x:v>
      </x:c>
      <x:c r="V49" s="13" t="n"/>
      <x:c r="W49" s="15">
        <x:f>IFERROR(MAX(0,Q49-V49),0)</x:f>
        <x:v>0</x:v>
      </x:c>
      <x:c r="X49" s="11" t="str">
        <x:f>IF((Parameters!$B$3-SUM($M$2:M49))&lt;Parameters!$B$4,"Warning","OK")</x:f>
        <x:v>Warning</x:v>
      </x:c>
      <x:c r="Y49" s="13" t="n"/>
    </x:row>
    <x:row r="50">
      <x:c r="A50" s="11" t="str">
        <x:f>"RUN-"&amp;TEXT(49,"000")</x:f>
        <x:v>RUN-049</x:v>
      </x:c>
      <x:c r="B50" s="12" t="n"/>
      <x:c r="C50" s="11">
        <x:f>IF(B50&lt;&gt;"",MONTH(B50),"")</x:f>
      </x:c>
      <x:c r="D50" s="13" t="n"/>
      <x:c r="E50" s="13" t="n"/>
      <x:c r="F50" s="13" t="n"/>
      <x:c r="G50" s="13" t="n"/>
      <x:c r="H50" s="14" t="n"/>
      <x:c r="I50" s="14" t="n"/>
      <x:c r="J50" s="14" t="n"/>
      <x:c r="K50" s="14" t="n"/>
      <x:c r="L50" s="14" t="n"/>
      <x:c r="M50" s="15">
        <x:f>IFERROR(H50+K50+L50,0)</x:f>
        <x:v>0</x:v>
      </x:c>
      <x:c r="N50" s="16">
        <x:f>IFERROR(M50*Parameters!$B$2,0)</x:f>
        <x:v>0</x:v>
      </x:c>
      <x:c r="O50" s="16">
        <x:f>IFERROR(K50*Parameters!$B$2,0)</x:f>
        <x:v>0</x:v>
      </x:c>
      <x:c r="P50" s="16">
        <x:f>IFERROR(L50*Parameters!$B$2,0)</x:f>
        <x:v>0</x:v>
      </x:c>
      <x:c r="Q50" s="16">
        <x:f>IFERROR(H50*I50,0)</x:f>
        <x:v>0</x:v>
      </x:c>
      <x:c r="R50" s="16">
        <x:f>IFERROR(Q50-(H50*Parameters!$B$2),0)</x:f>
        <x:v>0</x:v>
      </x:c>
      <x:c r="S50" s="16">
        <x:f>IFERROR(R50-J50,0)</x:f>
        <x:v>0</x:v>
      </x:c>
      <x:c r="T50" s="16">
        <x:f>IFERROR(S50*Parameters!$B$5,0)</x:f>
        <x:v>0</x:v>
      </x:c>
      <x:c r="U50" s="16">
        <x:f>IFERROR(S50*Parameters!$B$6,0)</x:f>
        <x:v>0</x:v>
      </x:c>
      <x:c r="V50" s="13" t="n"/>
      <x:c r="W50" s="15">
        <x:f>IFERROR(MAX(0,Q50-V50),0)</x:f>
        <x:v>0</x:v>
      </x:c>
      <x:c r="X50" s="11" t="str">
        <x:f>IF((Parameters!$B$3-SUM($M$2:M50))&lt;Parameters!$B$4,"Warning","OK")</x:f>
        <x:v>Warning</x:v>
      </x:c>
      <x:c r="Y50" s="13" t="n"/>
    </x:row>
    <x:row r="51">
      <x:c r="A51" s="11" t="str">
        <x:f>"RUN-"&amp;TEXT(50,"000")</x:f>
        <x:v>RUN-050</x:v>
      </x:c>
      <x:c r="B51" s="12" t="n"/>
      <x:c r="C51" s="11">
        <x:f>IF(B51&lt;&gt;"",MONTH(B51),"")</x:f>
      </x:c>
      <x:c r="D51" s="13" t="n"/>
      <x:c r="E51" s="13" t="n"/>
      <x:c r="F51" s="13" t="n"/>
      <x:c r="G51" s="13" t="n"/>
      <x:c r="H51" s="14" t="n"/>
      <x:c r="I51" s="14" t="n"/>
      <x:c r="J51" s="14" t="n"/>
      <x:c r="K51" s="14" t="n"/>
      <x:c r="L51" s="14" t="n"/>
      <x:c r="M51" s="15">
        <x:f>IFERROR(H51+K51+L51,0)</x:f>
        <x:v>0</x:v>
      </x:c>
      <x:c r="N51" s="16">
        <x:f>IFERROR(M51*Parameters!$B$2,0)</x:f>
        <x:v>0</x:v>
      </x:c>
      <x:c r="O51" s="16">
        <x:f>IFERROR(K51*Parameters!$B$2,0)</x:f>
        <x:v>0</x:v>
      </x:c>
      <x:c r="P51" s="16">
        <x:f>IFERROR(L51*Parameters!$B$2,0)</x:f>
        <x:v>0</x:v>
      </x:c>
      <x:c r="Q51" s="16">
        <x:f>IFERROR(H51*I51,0)</x:f>
        <x:v>0</x:v>
      </x:c>
      <x:c r="R51" s="16">
        <x:f>IFERROR(Q51-(H51*Parameters!$B$2),0)</x:f>
        <x:v>0</x:v>
      </x:c>
      <x:c r="S51" s="16">
        <x:f>IFERROR(R51-J51,0)</x:f>
        <x:v>0</x:v>
      </x:c>
      <x:c r="T51" s="16">
        <x:f>IFERROR(S51*Parameters!$B$5,0)</x:f>
        <x:v>0</x:v>
      </x:c>
      <x:c r="U51" s="16">
        <x:f>IFERROR(S51*Parameters!$B$6,0)</x:f>
        <x:v>0</x:v>
      </x:c>
      <x:c r="V51" s="13" t="n"/>
      <x:c r="W51" s="15">
        <x:f>IFERROR(MAX(0,Q51-V51),0)</x:f>
        <x:v>0</x:v>
      </x:c>
      <x:c r="X51" s="11" t="str">
        <x:f>IF((Parameters!$B$3-SUM($M$2:M51))&lt;Parameters!$B$4,"Warning","OK")</x:f>
        <x:v>Warning</x:v>
      </x:c>
      <x:c r="Y51" s="13" t="n"/>
    </x:row>
    <x:row r="52">
      <x:c r="A52" s="11" t="str">
        <x:f>"RUN-"&amp;TEXT(51,"000")</x:f>
        <x:v>RUN-051</x:v>
      </x:c>
      <x:c r="B52" s="12" t="n"/>
      <x:c r="C52" s="11">
        <x:f>IF(B52&lt;&gt;"",MONTH(B52),"")</x:f>
      </x:c>
      <x:c r="D52" s="13" t="n"/>
      <x:c r="E52" s="13" t="n"/>
      <x:c r="F52" s="13" t="n"/>
      <x:c r="G52" s="13" t="n"/>
      <x:c r="H52" s="14" t="n"/>
      <x:c r="I52" s="14" t="n"/>
      <x:c r="J52" s="14" t="n"/>
      <x:c r="K52" s="14" t="n"/>
      <x:c r="L52" s="14" t="n"/>
      <x:c r="M52" s="15">
        <x:f>IFERROR(H52+K52+L52,0)</x:f>
        <x:v>0</x:v>
      </x:c>
      <x:c r="N52" s="16">
        <x:f>IFERROR(M52*Parameters!$B$2,0)</x:f>
        <x:v>0</x:v>
      </x:c>
      <x:c r="O52" s="16">
        <x:f>IFERROR(K52*Parameters!$B$2,0)</x:f>
        <x:v>0</x:v>
      </x:c>
      <x:c r="P52" s="16">
        <x:f>IFERROR(L52*Parameters!$B$2,0)</x:f>
        <x:v>0</x:v>
      </x:c>
      <x:c r="Q52" s="16">
        <x:f>IFERROR(H52*I52,0)</x:f>
        <x:v>0</x:v>
      </x:c>
      <x:c r="R52" s="16">
        <x:f>IFERROR(Q52-(H52*Parameters!$B$2),0)</x:f>
        <x:v>0</x:v>
      </x:c>
      <x:c r="S52" s="16">
        <x:f>IFERROR(R52-J52,0)</x:f>
        <x:v>0</x:v>
      </x:c>
      <x:c r="T52" s="16">
        <x:f>IFERROR(S52*Parameters!$B$5,0)</x:f>
        <x:v>0</x:v>
      </x:c>
      <x:c r="U52" s="16">
        <x:f>IFERROR(S52*Parameters!$B$6,0)</x:f>
        <x:v>0</x:v>
      </x:c>
      <x:c r="V52" s="13" t="n"/>
      <x:c r="W52" s="15">
        <x:f>IFERROR(MAX(0,Q52-V52),0)</x:f>
        <x:v>0</x:v>
      </x:c>
      <x:c r="X52" s="11" t="str">
        <x:f>IF((Parameters!$B$3-SUM($M$2:M52))&lt;Parameters!$B$4,"Warning","OK")</x:f>
        <x:v>Warning</x:v>
      </x:c>
      <x:c r="Y52" s="13" t="n"/>
    </x:row>
    <x:row r="53">
      <x:c r="A53" s="11" t="str">
        <x:f>"RUN-"&amp;TEXT(52,"000")</x:f>
        <x:v>RUN-052</x:v>
      </x:c>
      <x:c r="B53" s="12" t="n"/>
      <x:c r="C53" s="11">
        <x:f>IF(B53&lt;&gt;"",MONTH(B53),"")</x:f>
      </x:c>
      <x:c r="D53" s="13" t="n"/>
      <x:c r="E53" s="13" t="n"/>
      <x:c r="F53" s="13" t="n"/>
      <x:c r="G53" s="13" t="n"/>
      <x:c r="H53" s="14" t="n"/>
      <x:c r="I53" s="14" t="n"/>
      <x:c r="J53" s="14" t="n"/>
      <x:c r="K53" s="14" t="n"/>
      <x:c r="L53" s="14" t="n"/>
      <x:c r="M53" s="15">
        <x:f>IFERROR(H53+K53+L53,0)</x:f>
        <x:v>0</x:v>
      </x:c>
      <x:c r="N53" s="16">
        <x:f>IFERROR(M53*Parameters!$B$2,0)</x:f>
        <x:v>0</x:v>
      </x:c>
      <x:c r="O53" s="16">
        <x:f>IFERROR(K53*Parameters!$B$2,0)</x:f>
        <x:v>0</x:v>
      </x:c>
      <x:c r="P53" s="16">
        <x:f>IFERROR(L53*Parameters!$B$2,0)</x:f>
        <x:v>0</x:v>
      </x:c>
      <x:c r="Q53" s="16">
        <x:f>IFERROR(H53*I53,0)</x:f>
        <x:v>0</x:v>
      </x:c>
      <x:c r="R53" s="16">
        <x:f>IFERROR(Q53-(H53*Parameters!$B$2),0)</x:f>
        <x:v>0</x:v>
      </x:c>
      <x:c r="S53" s="16">
        <x:f>IFERROR(R53-J53,0)</x:f>
        <x:v>0</x:v>
      </x:c>
      <x:c r="T53" s="16">
        <x:f>IFERROR(S53*Parameters!$B$5,0)</x:f>
        <x:v>0</x:v>
      </x:c>
      <x:c r="U53" s="16">
        <x:f>IFERROR(S53*Parameters!$B$6,0)</x:f>
        <x:v>0</x:v>
      </x:c>
      <x:c r="V53" s="13" t="n"/>
      <x:c r="W53" s="15">
        <x:f>IFERROR(MAX(0,Q53-V53),0)</x:f>
        <x:v>0</x:v>
      </x:c>
      <x:c r="X53" s="11" t="str">
        <x:f>IF((Parameters!$B$3-SUM($M$2:M53))&lt;Parameters!$B$4,"Warning","OK")</x:f>
        <x:v>Warning</x:v>
      </x:c>
      <x:c r="Y53" s="13" t="n"/>
    </x:row>
    <x:row r="54">
      <x:c r="A54" s="11" t="str">
        <x:f>"RUN-"&amp;TEXT(53,"000")</x:f>
        <x:v>RUN-053</x:v>
      </x:c>
      <x:c r="B54" s="12" t="n"/>
      <x:c r="C54" s="11">
        <x:f>IF(B54&lt;&gt;"",MONTH(B54),"")</x:f>
      </x:c>
      <x:c r="D54" s="13" t="n"/>
      <x:c r="E54" s="13" t="n"/>
      <x:c r="F54" s="13" t="n"/>
      <x:c r="G54" s="13" t="n"/>
      <x:c r="H54" s="14" t="n"/>
      <x:c r="I54" s="14" t="n"/>
      <x:c r="J54" s="14" t="n"/>
      <x:c r="K54" s="14" t="n"/>
      <x:c r="L54" s="14" t="n"/>
      <x:c r="M54" s="15">
        <x:f>IFERROR(H54+K54+L54,0)</x:f>
        <x:v>0</x:v>
      </x:c>
      <x:c r="N54" s="16">
        <x:f>IFERROR(M54*Parameters!$B$2,0)</x:f>
        <x:v>0</x:v>
      </x:c>
      <x:c r="O54" s="16">
        <x:f>IFERROR(K54*Parameters!$B$2,0)</x:f>
        <x:v>0</x:v>
      </x:c>
      <x:c r="P54" s="16">
        <x:f>IFERROR(L54*Parameters!$B$2,0)</x:f>
        <x:v>0</x:v>
      </x:c>
      <x:c r="Q54" s="16">
        <x:f>IFERROR(H54*I54,0)</x:f>
        <x:v>0</x:v>
      </x:c>
      <x:c r="R54" s="16">
        <x:f>IFERROR(Q54-(H54*Parameters!$B$2),0)</x:f>
        <x:v>0</x:v>
      </x:c>
      <x:c r="S54" s="16">
        <x:f>IFERROR(R54-J54,0)</x:f>
        <x:v>0</x:v>
      </x:c>
      <x:c r="T54" s="16">
        <x:f>IFERROR(S54*Parameters!$B$5,0)</x:f>
        <x:v>0</x:v>
      </x:c>
      <x:c r="U54" s="16">
        <x:f>IFERROR(S54*Parameters!$B$6,0)</x:f>
        <x:v>0</x:v>
      </x:c>
      <x:c r="V54" s="13" t="n"/>
      <x:c r="W54" s="15">
        <x:f>IFERROR(MAX(0,Q54-V54),0)</x:f>
        <x:v>0</x:v>
      </x:c>
      <x:c r="X54" s="11" t="str">
        <x:f>IF((Parameters!$B$3-SUM($M$2:M54))&lt;Parameters!$B$4,"Warning","OK")</x:f>
        <x:v>Warning</x:v>
      </x:c>
      <x:c r="Y54" s="13" t="n"/>
    </x:row>
    <x:row r="55">
      <x:c r="A55" s="11" t="str">
        <x:f>"RUN-"&amp;TEXT(54,"000")</x:f>
        <x:v>RUN-054</x:v>
      </x:c>
      <x:c r="B55" s="12" t="n"/>
      <x:c r="C55" s="11">
        <x:f>IF(B55&lt;&gt;"",MONTH(B55),"")</x:f>
      </x:c>
      <x:c r="D55" s="13" t="n"/>
      <x:c r="E55" s="13" t="n"/>
      <x:c r="F55" s="13" t="n"/>
      <x:c r="G55" s="13" t="n"/>
      <x:c r="H55" s="14" t="n"/>
      <x:c r="I55" s="14" t="n"/>
      <x:c r="J55" s="14" t="n"/>
      <x:c r="K55" s="14" t="n"/>
      <x:c r="L55" s="14" t="n"/>
      <x:c r="M55" s="15">
        <x:f>IFERROR(H55+K55+L55,0)</x:f>
        <x:v>0</x:v>
      </x:c>
      <x:c r="N55" s="16">
        <x:f>IFERROR(M55*Parameters!$B$2,0)</x:f>
        <x:v>0</x:v>
      </x:c>
      <x:c r="O55" s="16">
        <x:f>IFERROR(K55*Parameters!$B$2,0)</x:f>
        <x:v>0</x:v>
      </x:c>
      <x:c r="P55" s="16">
        <x:f>IFERROR(L55*Parameters!$B$2,0)</x:f>
        <x:v>0</x:v>
      </x:c>
      <x:c r="Q55" s="16">
        <x:f>IFERROR(H55*I55,0)</x:f>
        <x:v>0</x:v>
      </x:c>
      <x:c r="R55" s="16">
        <x:f>IFERROR(Q55-(H55*Parameters!$B$2),0)</x:f>
        <x:v>0</x:v>
      </x:c>
      <x:c r="S55" s="16">
        <x:f>IFERROR(R55-J55,0)</x:f>
        <x:v>0</x:v>
      </x:c>
      <x:c r="T55" s="16">
        <x:f>IFERROR(S55*Parameters!$B$5,0)</x:f>
        <x:v>0</x:v>
      </x:c>
      <x:c r="U55" s="16">
        <x:f>IFERROR(S55*Parameters!$B$6,0)</x:f>
        <x:v>0</x:v>
      </x:c>
      <x:c r="V55" s="13" t="n"/>
      <x:c r="W55" s="15">
        <x:f>IFERROR(MAX(0,Q55-V55),0)</x:f>
        <x:v>0</x:v>
      </x:c>
      <x:c r="X55" s="11" t="str">
        <x:f>IF((Parameters!$B$3-SUM($M$2:M55))&lt;Parameters!$B$4,"Warning","OK")</x:f>
        <x:v>Warning</x:v>
      </x:c>
      <x:c r="Y55" s="13" t="n"/>
    </x:row>
    <x:row r="56">
      <x:c r="A56" s="11" t="str">
        <x:f>"RUN-"&amp;TEXT(55,"000")</x:f>
        <x:v>RUN-055</x:v>
      </x:c>
      <x:c r="B56" s="12" t="n"/>
      <x:c r="C56" s="11">
        <x:f>IF(B56&lt;&gt;"",MONTH(B56),"")</x:f>
      </x:c>
      <x:c r="D56" s="13" t="n"/>
      <x:c r="E56" s="13" t="n"/>
      <x:c r="F56" s="13" t="n"/>
      <x:c r="G56" s="13" t="n"/>
      <x:c r="H56" s="14" t="n"/>
      <x:c r="I56" s="14" t="n"/>
      <x:c r="J56" s="14" t="n"/>
      <x:c r="K56" s="14" t="n"/>
      <x:c r="L56" s="14" t="n"/>
      <x:c r="M56" s="15">
        <x:f>IFERROR(H56+K56+L56,0)</x:f>
        <x:v>0</x:v>
      </x:c>
      <x:c r="N56" s="16">
        <x:f>IFERROR(M56*Parameters!$B$2,0)</x:f>
        <x:v>0</x:v>
      </x:c>
      <x:c r="O56" s="16">
        <x:f>IFERROR(K56*Parameters!$B$2,0)</x:f>
        <x:v>0</x:v>
      </x:c>
      <x:c r="P56" s="16">
        <x:f>IFERROR(L56*Parameters!$B$2,0)</x:f>
        <x:v>0</x:v>
      </x:c>
      <x:c r="Q56" s="16">
        <x:f>IFERROR(H56*I56,0)</x:f>
        <x:v>0</x:v>
      </x:c>
      <x:c r="R56" s="16">
        <x:f>IFERROR(Q56-(H56*Parameters!$B$2),0)</x:f>
        <x:v>0</x:v>
      </x:c>
      <x:c r="S56" s="16">
        <x:f>IFERROR(R56-J56,0)</x:f>
        <x:v>0</x:v>
      </x:c>
      <x:c r="T56" s="16">
        <x:f>IFERROR(S56*Parameters!$B$5,0)</x:f>
        <x:v>0</x:v>
      </x:c>
      <x:c r="U56" s="16">
        <x:f>IFERROR(S56*Parameters!$B$6,0)</x:f>
        <x:v>0</x:v>
      </x:c>
      <x:c r="V56" s="13" t="n"/>
      <x:c r="W56" s="15">
        <x:f>IFERROR(MAX(0,Q56-V56),0)</x:f>
        <x:v>0</x:v>
      </x:c>
      <x:c r="X56" s="11" t="str">
        <x:f>IF((Parameters!$B$3-SUM($M$2:M56))&lt;Parameters!$B$4,"Warning","OK")</x:f>
        <x:v>Warning</x:v>
      </x:c>
      <x:c r="Y56" s="13" t="n"/>
    </x:row>
    <x:row r="57">
      <x:c r="A57" s="11" t="str">
        <x:f>"RUN-"&amp;TEXT(56,"000")</x:f>
        <x:v>RUN-056</x:v>
      </x:c>
      <x:c r="B57" s="12" t="n"/>
      <x:c r="C57" s="11">
        <x:f>IF(B57&lt;&gt;"",MONTH(B57),"")</x:f>
      </x:c>
      <x:c r="D57" s="13" t="n"/>
      <x:c r="E57" s="13" t="n"/>
      <x:c r="F57" s="13" t="n"/>
      <x:c r="G57" s="13" t="n"/>
      <x:c r="H57" s="14" t="n"/>
      <x:c r="I57" s="14" t="n"/>
      <x:c r="J57" s="14" t="n"/>
      <x:c r="K57" s="14" t="n"/>
      <x:c r="L57" s="14" t="n"/>
      <x:c r="M57" s="15">
        <x:f>IFERROR(H57+K57+L57,0)</x:f>
        <x:v>0</x:v>
      </x:c>
      <x:c r="N57" s="16">
        <x:f>IFERROR(M57*Parameters!$B$2,0)</x:f>
        <x:v>0</x:v>
      </x:c>
      <x:c r="O57" s="16">
        <x:f>IFERROR(K57*Parameters!$B$2,0)</x:f>
        <x:v>0</x:v>
      </x:c>
      <x:c r="P57" s="16">
        <x:f>IFERROR(L57*Parameters!$B$2,0)</x:f>
        <x:v>0</x:v>
      </x:c>
      <x:c r="Q57" s="16">
        <x:f>IFERROR(H57*I57,0)</x:f>
        <x:v>0</x:v>
      </x:c>
      <x:c r="R57" s="16">
        <x:f>IFERROR(Q57-(H57*Parameters!$B$2),0)</x:f>
        <x:v>0</x:v>
      </x:c>
      <x:c r="S57" s="16">
        <x:f>IFERROR(R57-J57,0)</x:f>
        <x:v>0</x:v>
      </x:c>
      <x:c r="T57" s="16">
        <x:f>IFERROR(S57*Parameters!$B$5,0)</x:f>
        <x:v>0</x:v>
      </x:c>
      <x:c r="U57" s="16">
        <x:f>IFERROR(S57*Parameters!$B$6,0)</x:f>
        <x:v>0</x:v>
      </x:c>
      <x:c r="V57" s="13" t="n"/>
      <x:c r="W57" s="15">
        <x:f>IFERROR(MAX(0,Q57-V57),0)</x:f>
        <x:v>0</x:v>
      </x:c>
      <x:c r="X57" s="11" t="str">
        <x:f>IF((Parameters!$B$3-SUM($M$2:M57))&lt;Parameters!$B$4,"Warning","OK")</x:f>
        <x:v>Warning</x:v>
      </x:c>
      <x:c r="Y57" s="13" t="n"/>
    </x:row>
    <x:row r="58">
      <x:c r="A58" s="11" t="str">
        <x:f>"RUN-"&amp;TEXT(57,"000")</x:f>
        <x:v>RUN-057</x:v>
      </x:c>
      <x:c r="B58" s="12" t="n"/>
      <x:c r="C58" s="11">
        <x:f>IF(B58&lt;&gt;"",MONTH(B58),"")</x:f>
      </x:c>
      <x:c r="D58" s="13" t="n"/>
      <x:c r="E58" s="13" t="n"/>
      <x:c r="F58" s="13" t="n"/>
      <x:c r="G58" s="13" t="n"/>
      <x:c r="H58" s="14" t="n"/>
      <x:c r="I58" s="14" t="n"/>
      <x:c r="J58" s="14" t="n"/>
      <x:c r="K58" s="14" t="n"/>
      <x:c r="L58" s="14" t="n"/>
      <x:c r="M58" s="15">
        <x:f>IFERROR(H58+K58+L58,0)</x:f>
        <x:v>0</x:v>
      </x:c>
      <x:c r="N58" s="16">
        <x:f>IFERROR(M58*Parameters!$B$2,0)</x:f>
        <x:v>0</x:v>
      </x:c>
      <x:c r="O58" s="16">
        <x:f>IFERROR(K58*Parameters!$B$2,0)</x:f>
        <x:v>0</x:v>
      </x:c>
      <x:c r="P58" s="16">
        <x:f>IFERROR(L58*Parameters!$B$2,0)</x:f>
        <x:v>0</x:v>
      </x:c>
      <x:c r="Q58" s="16">
        <x:f>IFERROR(H58*I58,0)</x:f>
        <x:v>0</x:v>
      </x:c>
      <x:c r="R58" s="16">
        <x:f>IFERROR(Q58-(H58*Parameters!$B$2),0)</x:f>
        <x:v>0</x:v>
      </x:c>
      <x:c r="S58" s="16">
        <x:f>IFERROR(R58-J58,0)</x:f>
        <x:v>0</x:v>
      </x:c>
      <x:c r="T58" s="16">
        <x:f>IFERROR(S58*Parameters!$B$5,0)</x:f>
        <x:v>0</x:v>
      </x:c>
      <x:c r="U58" s="16">
        <x:f>IFERROR(S58*Parameters!$B$6,0)</x:f>
        <x:v>0</x:v>
      </x:c>
      <x:c r="V58" s="13" t="n"/>
      <x:c r="W58" s="15">
        <x:f>IFERROR(MAX(0,Q58-V58),0)</x:f>
        <x:v>0</x:v>
      </x:c>
      <x:c r="X58" s="11" t="str">
        <x:f>IF((Parameters!$B$3-SUM($M$2:M58))&lt;Parameters!$B$4,"Warning","OK")</x:f>
        <x:v>Warning</x:v>
      </x:c>
      <x:c r="Y58" s="13" t="n"/>
    </x:row>
    <x:row r="59">
      <x:c r="A59" s="11" t="str">
        <x:f>"RUN-"&amp;TEXT(58,"000")</x:f>
        <x:v>RUN-058</x:v>
      </x:c>
      <x:c r="B59" s="12" t="n"/>
      <x:c r="C59" s="11">
        <x:f>IF(B59&lt;&gt;"",MONTH(B59),"")</x:f>
      </x:c>
      <x:c r="D59" s="13" t="n"/>
      <x:c r="E59" s="13" t="n"/>
      <x:c r="F59" s="13" t="n"/>
      <x:c r="G59" s="13" t="n"/>
      <x:c r="H59" s="14" t="n"/>
      <x:c r="I59" s="14" t="n"/>
      <x:c r="J59" s="14" t="n"/>
      <x:c r="K59" s="14" t="n"/>
      <x:c r="L59" s="14" t="n"/>
      <x:c r="M59" s="15">
        <x:f>IFERROR(H59+K59+L59,0)</x:f>
        <x:v>0</x:v>
      </x:c>
      <x:c r="N59" s="16">
        <x:f>IFERROR(M59*Parameters!$B$2,0)</x:f>
        <x:v>0</x:v>
      </x:c>
      <x:c r="O59" s="16">
        <x:f>IFERROR(K59*Parameters!$B$2,0)</x:f>
        <x:v>0</x:v>
      </x:c>
      <x:c r="P59" s="16">
        <x:f>IFERROR(L59*Parameters!$B$2,0)</x:f>
        <x:v>0</x:v>
      </x:c>
      <x:c r="Q59" s="16">
        <x:f>IFERROR(H59*I59,0)</x:f>
        <x:v>0</x:v>
      </x:c>
      <x:c r="R59" s="16">
        <x:f>IFERROR(Q59-(H59*Parameters!$B$2),0)</x:f>
        <x:v>0</x:v>
      </x:c>
      <x:c r="S59" s="16">
        <x:f>IFERROR(R59-J59,0)</x:f>
        <x:v>0</x:v>
      </x:c>
      <x:c r="T59" s="16">
        <x:f>IFERROR(S59*Parameters!$B$5,0)</x:f>
        <x:v>0</x:v>
      </x:c>
      <x:c r="U59" s="16">
        <x:f>IFERROR(S59*Parameters!$B$6,0)</x:f>
        <x:v>0</x:v>
      </x:c>
      <x:c r="V59" s="13" t="n"/>
      <x:c r="W59" s="15">
        <x:f>IFERROR(MAX(0,Q59-V59),0)</x:f>
        <x:v>0</x:v>
      </x:c>
      <x:c r="X59" s="11" t="str">
        <x:f>IF((Parameters!$B$3-SUM($M$2:M59))&lt;Parameters!$B$4,"Warning","OK")</x:f>
        <x:v>Warning</x:v>
      </x:c>
      <x:c r="Y59" s="13" t="n"/>
    </x:row>
    <x:row r="60">
      <x:c r="A60" s="11" t="str">
        <x:f>"RUN-"&amp;TEXT(59,"000")</x:f>
        <x:v>RUN-059</x:v>
      </x:c>
      <x:c r="B60" s="12" t="n"/>
      <x:c r="C60" s="11">
        <x:f>IF(B60&lt;&gt;"",MONTH(B60),"")</x:f>
      </x:c>
      <x:c r="D60" s="13" t="n"/>
      <x:c r="E60" s="13" t="n"/>
      <x:c r="F60" s="13" t="n"/>
      <x:c r="G60" s="13" t="n"/>
      <x:c r="H60" s="14" t="n"/>
      <x:c r="I60" s="14" t="n"/>
      <x:c r="J60" s="14" t="n"/>
      <x:c r="K60" s="14" t="n"/>
      <x:c r="L60" s="14" t="n"/>
      <x:c r="M60" s="15">
        <x:f>IFERROR(H60+K60+L60,0)</x:f>
        <x:v>0</x:v>
      </x:c>
      <x:c r="N60" s="16">
        <x:f>IFERROR(M60*Parameters!$B$2,0)</x:f>
        <x:v>0</x:v>
      </x:c>
      <x:c r="O60" s="16">
        <x:f>IFERROR(K60*Parameters!$B$2,0)</x:f>
        <x:v>0</x:v>
      </x:c>
      <x:c r="P60" s="16">
        <x:f>IFERROR(L60*Parameters!$B$2,0)</x:f>
        <x:v>0</x:v>
      </x:c>
      <x:c r="Q60" s="16">
        <x:f>IFERROR(H60*I60,0)</x:f>
        <x:v>0</x:v>
      </x:c>
      <x:c r="R60" s="16">
        <x:f>IFERROR(Q60-(H60*Parameters!$B$2),0)</x:f>
        <x:v>0</x:v>
      </x:c>
      <x:c r="S60" s="16">
        <x:f>IFERROR(R60-J60,0)</x:f>
        <x:v>0</x:v>
      </x:c>
      <x:c r="T60" s="16">
        <x:f>IFERROR(S60*Parameters!$B$5,0)</x:f>
        <x:v>0</x:v>
      </x:c>
      <x:c r="U60" s="16">
        <x:f>IFERROR(S60*Parameters!$B$6,0)</x:f>
        <x:v>0</x:v>
      </x:c>
      <x:c r="V60" s="13" t="n"/>
      <x:c r="W60" s="15">
        <x:f>IFERROR(MAX(0,Q60-V60),0)</x:f>
        <x:v>0</x:v>
      </x:c>
      <x:c r="X60" s="11" t="str">
        <x:f>IF((Parameters!$B$3-SUM($M$2:M60))&lt;Parameters!$B$4,"Warning","OK")</x:f>
        <x:v>Warning</x:v>
      </x:c>
      <x:c r="Y60" s="13" t="n"/>
    </x:row>
    <x:row r="61">
      <x:c r="A61" s="11" t="str">
        <x:f>"RUN-"&amp;TEXT(60,"000")</x:f>
        <x:v>RUN-060</x:v>
      </x:c>
      <x:c r="B61" s="12" t="n"/>
      <x:c r="C61" s="11">
        <x:f>IF(B61&lt;&gt;"",MONTH(B61),"")</x:f>
      </x:c>
      <x:c r="D61" s="13" t="n"/>
      <x:c r="E61" s="13" t="n"/>
      <x:c r="F61" s="13" t="n"/>
      <x:c r="G61" s="13" t="n"/>
      <x:c r="H61" s="14" t="n"/>
      <x:c r="I61" s="14" t="n"/>
      <x:c r="J61" s="14" t="n"/>
      <x:c r="K61" s="14" t="n"/>
      <x:c r="L61" s="14" t="n"/>
      <x:c r="M61" s="15">
        <x:f>IFERROR(H61+K61+L61,0)</x:f>
        <x:v>0</x:v>
      </x:c>
      <x:c r="N61" s="16">
        <x:f>IFERROR(M61*Parameters!$B$2,0)</x:f>
        <x:v>0</x:v>
      </x:c>
      <x:c r="O61" s="16">
        <x:f>IFERROR(K61*Parameters!$B$2,0)</x:f>
        <x:v>0</x:v>
      </x:c>
      <x:c r="P61" s="16">
        <x:f>IFERROR(L61*Parameters!$B$2,0)</x:f>
        <x:v>0</x:v>
      </x:c>
      <x:c r="Q61" s="16">
        <x:f>IFERROR(H61*I61,0)</x:f>
        <x:v>0</x:v>
      </x:c>
      <x:c r="R61" s="16">
        <x:f>IFERROR(Q61-(H61*Parameters!$B$2),0)</x:f>
        <x:v>0</x:v>
      </x:c>
      <x:c r="S61" s="16">
        <x:f>IFERROR(R61-J61,0)</x:f>
        <x:v>0</x:v>
      </x:c>
      <x:c r="T61" s="16">
        <x:f>IFERROR(S61*Parameters!$B$5,0)</x:f>
        <x:v>0</x:v>
      </x:c>
      <x:c r="U61" s="16">
        <x:f>IFERROR(S61*Parameters!$B$6,0)</x:f>
        <x:v>0</x:v>
      </x:c>
      <x:c r="V61" s="13" t="n"/>
      <x:c r="W61" s="15">
        <x:f>IFERROR(MAX(0,Q61-V61),0)</x:f>
        <x:v>0</x:v>
      </x:c>
      <x:c r="X61" s="11" t="str">
        <x:f>IF((Parameters!$B$3-SUM($M$2:M61))&lt;Parameters!$B$4,"Warning","OK")</x:f>
        <x:v>Warning</x:v>
      </x:c>
      <x:c r="Y61" s="13" t="n"/>
    </x:row>
    <x:row r="62">
      <x:c r="A62" s="11" t="str">
        <x:f>"RUN-"&amp;TEXT(61,"000")</x:f>
        <x:v>RUN-061</x:v>
      </x:c>
      <x:c r="B62" s="12" t="n"/>
      <x:c r="C62" s="11">
        <x:f>IF(B62&lt;&gt;"",MONTH(B62),"")</x:f>
      </x:c>
      <x:c r="D62" s="13" t="n"/>
      <x:c r="E62" s="13" t="n"/>
      <x:c r="F62" s="13" t="n"/>
      <x:c r="G62" s="13" t="n"/>
      <x:c r="H62" s="14" t="n"/>
      <x:c r="I62" s="14" t="n"/>
      <x:c r="J62" s="14" t="n"/>
      <x:c r="K62" s="14" t="n"/>
      <x:c r="L62" s="14" t="n"/>
      <x:c r="M62" s="15">
        <x:f>IFERROR(H62+K62+L62,0)</x:f>
        <x:v>0</x:v>
      </x:c>
      <x:c r="N62" s="16">
        <x:f>IFERROR(M62*Parameters!$B$2,0)</x:f>
        <x:v>0</x:v>
      </x:c>
      <x:c r="O62" s="16">
        <x:f>IFERROR(K62*Parameters!$B$2,0)</x:f>
        <x:v>0</x:v>
      </x:c>
      <x:c r="P62" s="16">
        <x:f>IFERROR(L62*Parameters!$B$2,0)</x:f>
        <x:v>0</x:v>
      </x:c>
      <x:c r="Q62" s="16">
        <x:f>IFERROR(H62*I62,0)</x:f>
        <x:v>0</x:v>
      </x:c>
      <x:c r="R62" s="16">
        <x:f>IFERROR(Q62-(H62*Parameters!$B$2),0)</x:f>
        <x:v>0</x:v>
      </x:c>
      <x:c r="S62" s="16">
        <x:f>IFERROR(R62-J62,0)</x:f>
        <x:v>0</x:v>
      </x:c>
      <x:c r="T62" s="16">
        <x:f>IFERROR(S62*Parameters!$B$5,0)</x:f>
        <x:v>0</x:v>
      </x:c>
      <x:c r="U62" s="16">
        <x:f>IFERROR(S62*Parameters!$B$6,0)</x:f>
        <x:v>0</x:v>
      </x:c>
      <x:c r="V62" s="13" t="n"/>
      <x:c r="W62" s="15">
        <x:f>IFERROR(MAX(0,Q62-V62),0)</x:f>
        <x:v>0</x:v>
      </x:c>
      <x:c r="X62" s="11" t="str">
        <x:f>IF((Parameters!$B$3-SUM($M$2:M62))&lt;Parameters!$B$4,"Warning","OK")</x:f>
        <x:v>Warning</x:v>
      </x:c>
      <x:c r="Y62" s="13" t="n"/>
    </x:row>
    <x:row r="63">
      <x:c r="A63" s="11" t="str">
        <x:f>"RUN-"&amp;TEXT(62,"000")</x:f>
        <x:v>RUN-062</x:v>
      </x:c>
      <x:c r="B63" s="12" t="n"/>
      <x:c r="C63" s="11">
        <x:f>IF(B63&lt;&gt;"",MONTH(B63),"")</x:f>
      </x:c>
      <x:c r="D63" s="13" t="n"/>
      <x:c r="E63" s="13" t="n"/>
      <x:c r="F63" s="13" t="n"/>
      <x:c r="G63" s="13" t="n"/>
      <x:c r="H63" s="14" t="n"/>
      <x:c r="I63" s="14" t="n"/>
      <x:c r="J63" s="14" t="n"/>
      <x:c r="K63" s="14" t="n"/>
      <x:c r="L63" s="14" t="n"/>
      <x:c r="M63" s="15">
        <x:f>IFERROR(H63+K63+L63,0)</x:f>
        <x:v>0</x:v>
      </x:c>
      <x:c r="N63" s="16">
        <x:f>IFERROR(M63*Parameters!$B$2,0)</x:f>
        <x:v>0</x:v>
      </x:c>
      <x:c r="O63" s="16">
        <x:f>IFERROR(K63*Parameters!$B$2,0)</x:f>
        <x:v>0</x:v>
      </x:c>
      <x:c r="P63" s="16">
        <x:f>IFERROR(L63*Parameters!$B$2,0)</x:f>
        <x:v>0</x:v>
      </x:c>
      <x:c r="Q63" s="16">
        <x:f>IFERROR(H63*I63,0)</x:f>
        <x:v>0</x:v>
      </x:c>
      <x:c r="R63" s="16">
        <x:f>IFERROR(Q63-(H63*Parameters!$B$2),0)</x:f>
        <x:v>0</x:v>
      </x:c>
      <x:c r="S63" s="16">
        <x:f>IFERROR(R63-J63,0)</x:f>
        <x:v>0</x:v>
      </x:c>
      <x:c r="T63" s="16">
        <x:f>IFERROR(S63*Parameters!$B$5,0)</x:f>
        <x:v>0</x:v>
      </x:c>
      <x:c r="U63" s="16">
        <x:f>IFERROR(S63*Parameters!$B$6,0)</x:f>
        <x:v>0</x:v>
      </x:c>
      <x:c r="V63" s="13" t="n"/>
      <x:c r="W63" s="15">
        <x:f>IFERROR(MAX(0,Q63-V63),0)</x:f>
        <x:v>0</x:v>
      </x:c>
      <x:c r="X63" s="11" t="str">
        <x:f>IF((Parameters!$B$3-SUM($M$2:M63))&lt;Parameters!$B$4,"Warning","OK")</x:f>
        <x:v>Warning</x:v>
      </x:c>
      <x:c r="Y63" s="13" t="n"/>
    </x:row>
    <x:row r="64">
      <x:c r="A64" s="11" t="str">
        <x:f>"RUN-"&amp;TEXT(63,"000")</x:f>
        <x:v>RUN-063</x:v>
      </x:c>
      <x:c r="B64" s="12" t="n"/>
      <x:c r="C64" s="11">
        <x:f>IF(B64&lt;&gt;"",MONTH(B64),"")</x:f>
      </x:c>
      <x:c r="D64" s="13" t="n"/>
      <x:c r="E64" s="13" t="n"/>
      <x:c r="F64" s="13" t="n"/>
      <x:c r="G64" s="13" t="n"/>
      <x:c r="H64" s="14" t="n"/>
      <x:c r="I64" s="14" t="n"/>
      <x:c r="J64" s="14" t="n"/>
      <x:c r="K64" s="14" t="n"/>
      <x:c r="L64" s="14" t="n"/>
      <x:c r="M64" s="15">
        <x:f>IFERROR(H64+K64+L64,0)</x:f>
        <x:v>0</x:v>
      </x:c>
      <x:c r="N64" s="16">
        <x:f>IFERROR(M64*Parameters!$B$2,0)</x:f>
        <x:v>0</x:v>
      </x:c>
      <x:c r="O64" s="16">
        <x:f>IFERROR(K64*Parameters!$B$2,0)</x:f>
        <x:v>0</x:v>
      </x:c>
      <x:c r="P64" s="16">
        <x:f>IFERROR(L64*Parameters!$B$2,0)</x:f>
        <x:v>0</x:v>
      </x:c>
      <x:c r="Q64" s="16">
        <x:f>IFERROR(H64*I64,0)</x:f>
        <x:v>0</x:v>
      </x:c>
      <x:c r="R64" s="16">
        <x:f>IFERROR(Q64-(H64*Parameters!$B$2),0)</x:f>
        <x:v>0</x:v>
      </x:c>
      <x:c r="S64" s="16">
        <x:f>IFERROR(R64-J64,0)</x:f>
        <x:v>0</x:v>
      </x:c>
      <x:c r="T64" s="16">
        <x:f>IFERROR(S64*Parameters!$B$5,0)</x:f>
        <x:v>0</x:v>
      </x:c>
      <x:c r="U64" s="16">
        <x:f>IFERROR(S64*Parameters!$B$6,0)</x:f>
        <x:v>0</x:v>
      </x:c>
      <x:c r="V64" s="13" t="n"/>
      <x:c r="W64" s="15">
        <x:f>IFERROR(MAX(0,Q64-V64),0)</x:f>
        <x:v>0</x:v>
      </x:c>
      <x:c r="X64" s="11" t="str">
        <x:f>IF((Parameters!$B$3-SUM($M$2:M64))&lt;Parameters!$B$4,"Warning","OK")</x:f>
        <x:v>Warning</x:v>
      </x:c>
      <x:c r="Y64" s="13" t="n"/>
    </x:row>
    <x:row r="65">
      <x:c r="A65" s="11" t="str">
        <x:f>"RUN-"&amp;TEXT(64,"000")</x:f>
        <x:v>RUN-064</x:v>
      </x:c>
      <x:c r="B65" s="12" t="n"/>
      <x:c r="C65" s="11">
        <x:f>IF(B65&lt;&gt;"",MONTH(B65),"")</x:f>
      </x:c>
      <x:c r="D65" s="13" t="n"/>
      <x:c r="E65" s="13" t="n"/>
      <x:c r="F65" s="13" t="n"/>
      <x:c r="G65" s="13" t="n"/>
      <x:c r="H65" s="14" t="n"/>
      <x:c r="I65" s="14" t="n"/>
      <x:c r="J65" s="14" t="n"/>
      <x:c r="K65" s="14" t="n"/>
      <x:c r="L65" s="14" t="n"/>
      <x:c r="M65" s="15">
        <x:f>IFERROR(H65+K65+L65,0)</x:f>
        <x:v>0</x:v>
      </x:c>
      <x:c r="N65" s="16">
        <x:f>IFERROR(M65*Parameters!$B$2,0)</x:f>
        <x:v>0</x:v>
      </x:c>
      <x:c r="O65" s="16">
        <x:f>IFERROR(K65*Parameters!$B$2,0)</x:f>
        <x:v>0</x:v>
      </x:c>
      <x:c r="P65" s="16">
        <x:f>IFERROR(L65*Parameters!$B$2,0)</x:f>
        <x:v>0</x:v>
      </x:c>
      <x:c r="Q65" s="16">
        <x:f>IFERROR(H65*I65,0)</x:f>
        <x:v>0</x:v>
      </x:c>
      <x:c r="R65" s="16">
        <x:f>IFERROR(Q65-(H65*Parameters!$B$2),0)</x:f>
        <x:v>0</x:v>
      </x:c>
      <x:c r="S65" s="16">
        <x:f>IFERROR(R65-J65,0)</x:f>
        <x:v>0</x:v>
      </x:c>
      <x:c r="T65" s="16">
        <x:f>IFERROR(S65*Parameters!$B$5,0)</x:f>
        <x:v>0</x:v>
      </x:c>
      <x:c r="U65" s="16">
        <x:f>IFERROR(S65*Parameters!$B$6,0)</x:f>
        <x:v>0</x:v>
      </x:c>
      <x:c r="V65" s="13" t="n"/>
      <x:c r="W65" s="15">
        <x:f>IFERROR(MAX(0,Q65-V65),0)</x:f>
        <x:v>0</x:v>
      </x:c>
      <x:c r="X65" s="11" t="str">
        <x:f>IF((Parameters!$B$3-SUM($M$2:M65))&lt;Parameters!$B$4,"Warning","OK")</x:f>
        <x:v>Warning</x:v>
      </x:c>
      <x:c r="Y65" s="13" t="n"/>
    </x:row>
    <x:row r="66">
      <x:c r="A66" s="11" t="str">
        <x:f>"RUN-"&amp;TEXT(65,"000")</x:f>
        <x:v>RUN-065</x:v>
      </x:c>
      <x:c r="B66" s="12" t="n"/>
      <x:c r="C66" s="11">
        <x:f>IF(B66&lt;&gt;"",MONTH(B66),"")</x:f>
      </x:c>
      <x:c r="D66" s="13" t="n"/>
      <x:c r="E66" s="13" t="n"/>
      <x:c r="F66" s="13" t="n"/>
      <x:c r="G66" s="13" t="n"/>
      <x:c r="H66" s="14" t="n"/>
      <x:c r="I66" s="14" t="n"/>
      <x:c r="J66" s="14" t="n"/>
      <x:c r="K66" s="14" t="n"/>
      <x:c r="L66" s="14" t="n"/>
      <x:c r="M66" s="15">
        <x:f>IFERROR(H66+K66+L66,0)</x:f>
        <x:v>0</x:v>
      </x:c>
      <x:c r="N66" s="16">
        <x:f>IFERROR(M66*Parameters!$B$2,0)</x:f>
        <x:v>0</x:v>
      </x:c>
      <x:c r="O66" s="16">
        <x:f>IFERROR(K66*Parameters!$B$2,0)</x:f>
        <x:v>0</x:v>
      </x:c>
      <x:c r="P66" s="16">
        <x:f>IFERROR(L66*Parameters!$B$2,0)</x:f>
        <x:v>0</x:v>
      </x:c>
      <x:c r="Q66" s="16">
        <x:f>IFERROR(H66*I66,0)</x:f>
        <x:v>0</x:v>
      </x:c>
      <x:c r="R66" s="16">
        <x:f>IFERROR(Q66-(H66*Parameters!$B$2),0)</x:f>
        <x:v>0</x:v>
      </x:c>
      <x:c r="S66" s="16">
        <x:f>IFERROR(R66-J66,0)</x:f>
        <x:v>0</x:v>
      </x:c>
      <x:c r="T66" s="16">
        <x:f>IFERROR(S66*Parameters!$B$5,0)</x:f>
        <x:v>0</x:v>
      </x:c>
      <x:c r="U66" s="16">
        <x:f>IFERROR(S66*Parameters!$B$6,0)</x:f>
        <x:v>0</x:v>
      </x:c>
      <x:c r="V66" s="13" t="n"/>
      <x:c r="W66" s="15">
        <x:f>IFERROR(MAX(0,Q66-V66),0)</x:f>
        <x:v>0</x:v>
      </x:c>
      <x:c r="X66" s="11" t="str">
        <x:f>IF((Parameters!$B$3-SUM($M$2:M66))&lt;Parameters!$B$4,"Warning","OK")</x:f>
        <x:v>Warning</x:v>
      </x:c>
      <x:c r="Y66" s="13" t="n"/>
    </x:row>
    <x:row r="67">
      <x:c r="A67" s="11" t="str">
        <x:f>"RUN-"&amp;TEXT(66,"000")</x:f>
        <x:v>RUN-066</x:v>
      </x:c>
      <x:c r="B67" s="12" t="n"/>
      <x:c r="C67" s="11">
        <x:f>IF(B67&lt;&gt;"",MONTH(B67),"")</x:f>
      </x:c>
      <x:c r="D67" s="13" t="n"/>
      <x:c r="E67" s="13" t="n"/>
      <x:c r="F67" s="13" t="n"/>
      <x:c r="G67" s="13" t="n"/>
      <x:c r="H67" s="14" t="n"/>
      <x:c r="I67" s="14" t="n"/>
      <x:c r="J67" s="14" t="n"/>
      <x:c r="K67" s="14" t="n"/>
      <x:c r="L67" s="14" t="n"/>
      <x:c r="M67" s="15">
        <x:f>IFERROR(H67+K67+L67,0)</x:f>
        <x:v>0</x:v>
      </x:c>
      <x:c r="N67" s="16">
        <x:f>IFERROR(M67*Parameters!$B$2,0)</x:f>
        <x:v>0</x:v>
      </x:c>
      <x:c r="O67" s="16">
        <x:f>IFERROR(K67*Parameters!$B$2,0)</x:f>
        <x:v>0</x:v>
      </x:c>
      <x:c r="P67" s="16">
        <x:f>IFERROR(L67*Parameters!$B$2,0)</x:f>
        <x:v>0</x:v>
      </x:c>
      <x:c r="Q67" s="16">
        <x:f>IFERROR(H67*I67,0)</x:f>
        <x:v>0</x:v>
      </x:c>
      <x:c r="R67" s="16">
        <x:f>IFERROR(Q67-(H67*Parameters!$B$2),0)</x:f>
        <x:v>0</x:v>
      </x:c>
      <x:c r="S67" s="16">
        <x:f>IFERROR(R67-J67,0)</x:f>
        <x:v>0</x:v>
      </x:c>
      <x:c r="T67" s="16">
        <x:f>IFERROR(S67*Parameters!$B$5,0)</x:f>
        <x:v>0</x:v>
      </x:c>
      <x:c r="U67" s="16">
        <x:f>IFERROR(S67*Parameters!$B$6,0)</x:f>
        <x:v>0</x:v>
      </x:c>
      <x:c r="V67" s="13" t="n"/>
      <x:c r="W67" s="15">
        <x:f>IFERROR(MAX(0,Q67-V67),0)</x:f>
        <x:v>0</x:v>
      </x:c>
      <x:c r="X67" s="11" t="str">
        <x:f>IF((Parameters!$B$3-SUM($M$2:M67))&lt;Parameters!$B$4,"Warning","OK")</x:f>
        <x:v>Warning</x:v>
      </x:c>
      <x:c r="Y67" s="13" t="n"/>
    </x:row>
    <x:row r="68">
      <x:c r="A68" s="11" t="str">
        <x:f>"RUN-"&amp;TEXT(67,"000")</x:f>
        <x:v>RUN-067</x:v>
      </x:c>
      <x:c r="B68" s="12" t="n"/>
      <x:c r="C68" s="11">
        <x:f>IF(B68&lt;&gt;"",MONTH(B68),"")</x:f>
      </x:c>
      <x:c r="D68" s="13" t="n"/>
      <x:c r="E68" s="13" t="n"/>
      <x:c r="F68" s="13" t="n"/>
      <x:c r="G68" s="13" t="n"/>
      <x:c r="H68" s="14" t="n"/>
      <x:c r="I68" s="14" t="n"/>
      <x:c r="J68" s="14" t="n"/>
      <x:c r="K68" s="14" t="n"/>
      <x:c r="L68" s="14" t="n"/>
      <x:c r="M68" s="15">
        <x:f>IFERROR(H68+K68+L68,0)</x:f>
        <x:v>0</x:v>
      </x:c>
      <x:c r="N68" s="16">
        <x:f>IFERROR(M68*Parameters!$B$2,0)</x:f>
        <x:v>0</x:v>
      </x:c>
      <x:c r="O68" s="16">
        <x:f>IFERROR(K68*Parameters!$B$2,0)</x:f>
        <x:v>0</x:v>
      </x:c>
      <x:c r="P68" s="16">
        <x:f>IFERROR(L68*Parameters!$B$2,0)</x:f>
        <x:v>0</x:v>
      </x:c>
      <x:c r="Q68" s="16">
        <x:f>IFERROR(H68*I68,0)</x:f>
        <x:v>0</x:v>
      </x:c>
      <x:c r="R68" s="16">
        <x:f>IFERROR(Q68-(H68*Parameters!$B$2),0)</x:f>
        <x:v>0</x:v>
      </x:c>
      <x:c r="S68" s="16">
        <x:f>IFERROR(R68-J68,0)</x:f>
        <x:v>0</x:v>
      </x:c>
      <x:c r="T68" s="16">
        <x:f>IFERROR(S68*Parameters!$B$5,0)</x:f>
        <x:v>0</x:v>
      </x:c>
      <x:c r="U68" s="16">
        <x:f>IFERROR(S68*Parameters!$B$6,0)</x:f>
        <x:v>0</x:v>
      </x:c>
      <x:c r="V68" s="13" t="n"/>
      <x:c r="W68" s="15">
        <x:f>IFERROR(MAX(0,Q68-V68),0)</x:f>
        <x:v>0</x:v>
      </x:c>
      <x:c r="X68" s="11" t="str">
        <x:f>IF((Parameters!$B$3-SUM($M$2:M68))&lt;Parameters!$B$4,"Warning","OK")</x:f>
        <x:v>Warning</x:v>
      </x:c>
      <x:c r="Y68" s="13" t="n"/>
    </x:row>
    <x:row r="69">
      <x:c r="A69" s="11" t="str">
        <x:f>"RUN-"&amp;TEXT(68,"000")</x:f>
        <x:v>RUN-068</x:v>
      </x:c>
      <x:c r="B69" s="12" t="n"/>
      <x:c r="C69" s="11">
        <x:f>IF(B69&lt;&gt;"",MONTH(B69),"")</x:f>
      </x:c>
      <x:c r="D69" s="13" t="n"/>
      <x:c r="E69" s="13" t="n"/>
      <x:c r="F69" s="13" t="n"/>
      <x:c r="G69" s="13" t="n"/>
      <x:c r="H69" s="14" t="n"/>
      <x:c r="I69" s="14" t="n"/>
      <x:c r="J69" s="14" t="n"/>
      <x:c r="K69" s="14" t="n"/>
      <x:c r="L69" s="14" t="n"/>
      <x:c r="M69" s="15">
        <x:f>IFERROR(H69+K69+L69,0)</x:f>
        <x:v>0</x:v>
      </x:c>
      <x:c r="N69" s="16">
        <x:f>IFERROR(M69*Parameters!$B$2,0)</x:f>
        <x:v>0</x:v>
      </x:c>
      <x:c r="O69" s="16">
        <x:f>IFERROR(K69*Parameters!$B$2,0)</x:f>
        <x:v>0</x:v>
      </x:c>
      <x:c r="P69" s="16">
        <x:f>IFERROR(L69*Parameters!$B$2,0)</x:f>
        <x:v>0</x:v>
      </x:c>
      <x:c r="Q69" s="16">
        <x:f>IFERROR(H69*I69,0)</x:f>
        <x:v>0</x:v>
      </x:c>
      <x:c r="R69" s="16">
        <x:f>IFERROR(Q69-(H69*Parameters!$B$2),0)</x:f>
        <x:v>0</x:v>
      </x:c>
      <x:c r="S69" s="16">
        <x:f>IFERROR(R69-J69,0)</x:f>
        <x:v>0</x:v>
      </x:c>
      <x:c r="T69" s="16">
        <x:f>IFERROR(S69*Parameters!$B$5,0)</x:f>
        <x:v>0</x:v>
      </x:c>
      <x:c r="U69" s="16">
        <x:f>IFERROR(S69*Parameters!$B$6,0)</x:f>
        <x:v>0</x:v>
      </x:c>
      <x:c r="V69" s="13" t="n"/>
      <x:c r="W69" s="15">
        <x:f>IFERROR(MAX(0,Q69-V69),0)</x:f>
        <x:v>0</x:v>
      </x:c>
      <x:c r="X69" s="11" t="str">
        <x:f>IF((Parameters!$B$3-SUM($M$2:M69))&lt;Parameters!$B$4,"Warning","OK")</x:f>
        <x:v>Warning</x:v>
      </x:c>
      <x:c r="Y69" s="13" t="n"/>
    </x:row>
    <x:row r="70">
      <x:c r="A70" s="11" t="str">
        <x:f>"RUN-"&amp;TEXT(69,"000")</x:f>
        <x:v>RUN-069</x:v>
      </x:c>
      <x:c r="B70" s="12" t="n"/>
      <x:c r="C70" s="11">
        <x:f>IF(B70&lt;&gt;"",MONTH(B70),"")</x:f>
      </x:c>
      <x:c r="D70" s="13" t="n"/>
      <x:c r="E70" s="13" t="n"/>
      <x:c r="F70" s="13" t="n"/>
      <x:c r="G70" s="13" t="n"/>
      <x:c r="H70" s="14" t="n"/>
      <x:c r="I70" s="14" t="n"/>
      <x:c r="J70" s="14" t="n"/>
      <x:c r="K70" s="14" t="n"/>
      <x:c r="L70" s="14" t="n"/>
      <x:c r="M70" s="15">
        <x:f>IFERROR(H70+K70+L70,0)</x:f>
        <x:v>0</x:v>
      </x:c>
      <x:c r="N70" s="16">
        <x:f>IFERROR(M70*Parameters!$B$2,0)</x:f>
        <x:v>0</x:v>
      </x:c>
      <x:c r="O70" s="16">
        <x:f>IFERROR(K70*Parameters!$B$2,0)</x:f>
        <x:v>0</x:v>
      </x:c>
      <x:c r="P70" s="16">
        <x:f>IFERROR(L70*Parameters!$B$2,0)</x:f>
        <x:v>0</x:v>
      </x:c>
      <x:c r="Q70" s="16">
        <x:f>IFERROR(H70*I70,0)</x:f>
        <x:v>0</x:v>
      </x:c>
      <x:c r="R70" s="16">
        <x:f>IFERROR(Q70-(H70*Parameters!$B$2),0)</x:f>
        <x:v>0</x:v>
      </x:c>
      <x:c r="S70" s="16">
        <x:f>IFERROR(R70-J70,0)</x:f>
        <x:v>0</x:v>
      </x:c>
      <x:c r="T70" s="16">
        <x:f>IFERROR(S70*Parameters!$B$5,0)</x:f>
        <x:v>0</x:v>
      </x:c>
      <x:c r="U70" s="16">
        <x:f>IFERROR(S70*Parameters!$B$6,0)</x:f>
        <x:v>0</x:v>
      </x:c>
      <x:c r="V70" s="13" t="n"/>
      <x:c r="W70" s="15">
        <x:f>IFERROR(MAX(0,Q70-V70),0)</x:f>
        <x:v>0</x:v>
      </x:c>
      <x:c r="X70" s="11" t="str">
        <x:f>IF((Parameters!$B$3-SUM($M$2:M70))&lt;Parameters!$B$4,"Warning","OK")</x:f>
        <x:v>Warning</x:v>
      </x:c>
      <x:c r="Y70" s="13" t="n"/>
    </x:row>
    <x:row r="71">
      <x:c r="A71" s="11" t="str">
        <x:f>"RUN-"&amp;TEXT(70,"000")</x:f>
        <x:v>RUN-070</x:v>
      </x:c>
      <x:c r="B71" s="12" t="n"/>
      <x:c r="C71" s="11">
        <x:f>IF(B71&lt;&gt;"",MONTH(B71),"")</x:f>
      </x:c>
      <x:c r="D71" s="13" t="n"/>
      <x:c r="E71" s="13" t="n"/>
      <x:c r="F71" s="13" t="n"/>
      <x:c r="G71" s="13" t="n"/>
      <x:c r="H71" s="14" t="n"/>
      <x:c r="I71" s="14" t="n"/>
      <x:c r="J71" s="14" t="n"/>
      <x:c r="K71" s="14" t="n"/>
      <x:c r="L71" s="14" t="n"/>
      <x:c r="M71" s="15">
        <x:f>IFERROR(H71+K71+L71,0)</x:f>
        <x:v>0</x:v>
      </x:c>
      <x:c r="N71" s="16">
        <x:f>IFERROR(M71*Parameters!$B$2,0)</x:f>
        <x:v>0</x:v>
      </x:c>
      <x:c r="O71" s="16">
        <x:f>IFERROR(K71*Parameters!$B$2,0)</x:f>
        <x:v>0</x:v>
      </x:c>
      <x:c r="P71" s="16">
        <x:f>IFERROR(L71*Parameters!$B$2,0)</x:f>
        <x:v>0</x:v>
      </x:c>
      <x:c r="Q71" s="16">
        <x:f>IFERROR(H71*I71,0)</x:f>
        <x:v>0</x:v>
      </x:c>
      <x:c r="R71" s="16">
        <x:f>IFERROR(Q71-(H71*Parameters!$B$2),0)</x:f>
        <x:v>0</x:v>
      </x:c>
      <x:c r="S71" s="16">
        <x:f>IFERROR(R71-J71,0)</x:f>
        <x:v>0</x:v>
      </x:c>
      <x:c r="T71" s="16">
        <x:f>IFERROR(S71*Parameters!$B$5,0)</x:f>
        <x:v>0</x:v>
      </x:c>
      <x:c r="U71" s="16">
        <x:f>IFERROR(S71*Parameters!$B$6,0)</x:f>
        <x:v>0</x:v>
      </x:c>
      <x:c r="V71" s="13" t="n"/>
      <x:c r="W71" s="15">
        <x:f>IFERROR(MAX(0,Q71-V71),0)</x:f>
        <x:v>0</x:v>
      </x:c>
      <x:c r="X71" s="11" t="str">
        <x:f>IF((Parameters!$B$3-SUM($M$2:M71))&lt;Parameters!$B$4,"Warning","OK")</x:f>
        <x:v>Warning</x:v>
      </x:c>
      <x:c r="Y71" s="13" t="n"/>
    </x:row>
    <x:row r="72">
      <x:c r="A72" s="11" t="str">
        <x:f>"RUN-"&amp;TEXT(71,"000")</x:f>
        <x:v>RUN-071</x:v>
      </x:c>
      <x:c r="B72" s="12" t="n"/>
      <x:c r="C72" s="11">
        <x:f>IF(B72&lt;&gt;"",MONTH(B72),"")</x:f>
      </x:c>
      <x:c r="D72" s="13" t="n"/>
      <x:c r="E72" s="13" t="n"/>
      <x:c r="F72" s="13" t="n"/>
      <x:c r="G72" s="13" t="n"/>
      <x:c r="H72" s="14" t="n"/>
      <x:c r="I72" s="14" t="n"/>
      <x:c r="J72" s="14" t="n"/>
      <x:c r="K72" s="14" t="n"/>
      <x:c r="L72" s="14" t="n"/>
      <x:c r="M72" s="15">
        <x:f>IFERROR(H72+K72+L72,0)</x:f>
        <x:v>0</x:v>
      </x:c>
      <x:c r="N72" s="16">
        <x:f>IFERROR(M72*Parameters!$B$2,0)</x:f>
        <x:v>0</x:v>
      </x:c>
      <x:c r="O72" s="16">
        <x:f>IFERROR(K72*Parameters!$B$2,0)</x:f>
        <x:v>0</x:v>
      </x:c>
      <x:c r="P72" s="16">
        <x:f>IFERROR(L72*Parameters!$B$2,0)</x:f>
        <x:v>0</x:v>
      </x:c>
      <x:c r="Q72" s="16">
        <x:f>IFERROR(H72*I72,0)</x:f>
        <x:v>0</x:v>
      </x:c>
      <x:c r="R72" s="16">
        <x:f>IFERROR(Q72-(H72*Parameters!$B$2),0)</x:f>
        <x:v>0</x:v>
      </x:c>
      <x:c r="S72" s="16">
        <x:f>IFERROR(R72-J72,0)</x:f>
        <x:v>0</x:v>
      </x:c>
      <x:c r="T72" s="16">
        <x:f>IFERROR(S72*Parameters!$B$5,0)</x:f>
        <x:v>0</x:v>
      </x:c>
      <x:c r="U72" s="16">
        <x:f>IFERROR(S72*Parameters!$B$6,0)</x:f>
        <x:v>0</x:v>
      </x:c>
      <x:c r="V72" s="13" t="n"/>
      <x:c r="W72" s="15">
        <x:f>IFERROR(MAX(0,Q72-V72),0)</x:f>
        <x:v>0</x:v>
      </x:c>
      <x:c r="X72" s="11" t="str">
        <x:f>IF((Parameters!$B$3-SUM($M$2:M72))&lt;Parameters!$B$4,"Warning","OK")</x:f>
        <x:v>Warning</x:v>
      </x:c>
      <x:c r="Y72" s="13" t="n"/>
    </x:row>
    <x:row r="73">
      <x:c r="A73" s="11" t="str">
        <x:f>"RUN-"&amp;TEXT(72,"000")</x:f>
        <x:v>RUN-072</x:v>
      </x:c>
      <x:c r="B73" s="12" t="n"/>
      <x:c r="C73" s="11">
        <x:f>IF(B73&lt;&gt;"",MONTH(B73),"")</x:f>
      </x:c>
      <x:c r="D73" s="13" t="n"/>
      <x:c r="E73" s="13" t="n"/>
      <x:c r="F73" s="13" t="n"/>
      <x:c r="G73" s="13" t="n"/>
      <x:c r="H73" s="14" t="n"/>
      <x:c r="I73" s="14" t="n"/>
      <x:c r="J73" s="14" t="n"/>
      <x:c r="K73" s="14" t="n"/>
      <x:c r="L73" s="14" t="n"/>
      <x:c r="M73" s="15">
        <x:f>IFERROR(H73+K73+L73,0)</x:f>
        <x:v>0</x:v>
      </x:c>
      <x:c r="N73" s="16">
        <x:f>IFERROR(M73*Parameters!$B$2,0)</x:f>
        <x:v>0</x:v>
      </x:c>
      <x:c r="O73" s="16">
        <x:f>IFERROR(K73*Parameters!$B$2,0)</x:f>
        <x:v>0</x:v>
      </x:c>
      <x:c r="P73" s="16">
        <x:f>IFERROR(L73*Parameters!$B$2,0)</x:f>
        <x:v>0</x:v>
      </x:c>
      <x:c r="Q73" s="16">
        <x:f>IFERROR(H73*I73,0)</x:f>
        <x:v>0</x:v>
      </x:c>
      <x:c r="R73" s="16">
        <x:f>IFERROR(Q73-(H73*Parameters!$B$2),0)</x:f>
        <x:v>0</x:v>
      </x:c>
      <x:c r="S73" s="16">
        <x:f>IFERROR(R73-J73,0)</x:f>
        <x:v>0</x:v>
      </x:c>
      <x:c r="T73" s="16">
        <x:f>IFERROR(S73*Parameters!$B$5,0)</x:f>
        <x:v>0</x:v>
      </x:c>
      <x:c r="U73" s="16">
        <x:f>IFERROR(S73*Parameters!$B$6,0)</x:f>
        <x:v>0</x:v>
      </x:c>
      <x:c r="V73" s="13" t="n"/>
      <x:c r="W73" s="15">
        <x:f>IFERROR(MAX(0,Q73-V73),0)</x:f>
        <x:v>0</x:v>
      </x:c>
      <x:c r="X73" s="11" t="str">
        <x:f>IF((Parameters!$B$3-SUM($M$2:M73))&lt;Parameters!$B$4,"Warning","OK")</x:f>
        <x:v>Warning</x:v>
      </x:c>
      <x:c r="Y73" s="13" t="n"/>
    </x:row>
    <x:row r="74">
      <x:c r="A74" s="11" t="str">
        <x:f>"RUN-"&amp;TEXT(73,"000")</x:f>
        <x:v>RUN-073</x:v>
      </x:c>
      <x:c r="B74" s="12" t="n"/>
      <x:c r="C74" s="11">
        <x:f>IF(B74&lt;&gt;"",MONTH(B74),"")</x:f>
      </x:c>
      <x:c r="D74" s="13" t="n"/>
      <x:c r="E74" s="13" t="n"/>
      <x:c r="F74" s="13" t="n"/>
      <x:c r="G74" s="13" t="n"/>
      <x:c r="H74" s="14" t="n"/>
      <x:c r="I74" s="14" t="n"/>
      <x:c r="J74" s="14" t="n"/>
      <x:c r="K74" s="14" t="n"/>
      <x:c r="L74" s="14" t="n"/>
      <x:c r="M74" s="15">
        <x:f>IFERROR(H74+K74+L74,0)</x:f>
        <x:v>0</x:v>
      </x:c>
      <x:c r="N74" s="16">
        <x:f>IFERROR(M74*Parameters!$B$2,0)</x:f>
        <x:v>0</x:v>
      </x:c>
      <x:c r="O74" s="16">
        <x:f>IFERROR(K74*Parameters!$B$2,0)</x:f>
        <x:v>0</x:v>
      </x:c>
      <x:c r="P74" s="16">
        <x:f>IFERROR(L74*Parameters!$B$2,0)</x:f>
        <x:v>0</x:v>
      </x:c>
      <x:c r="Q74" s="16">
        <x:f>IFERROR(H74*I74,0)</x:f>
        <x:v>0</x:v>
      </x:c>
      <x:c r="R74" s="16">
        <x:f>IFERROR(Q74-(H74*Parameters!$B$2),0)</x:f>
        <x:v>0</x:v>
      </x:c>
      <x:c r="S74" s="16">
        <x:f>IFERROR(R74-J74,0)</x:f>
        <x:v>0</x:v>
      </x:c>
      <x:c r="T74" s="16">
        <x:f>IFERROR(S74*Parameters!$B$5,0)</x:f>
        <x:v>0</x:v>
      </x:c>
      <x:c r="U74" s="16">
        <x:f>IFERROR(S74*Parameters!$B$6,0)</x:f>
        <x:v>0</x:v>
      </x:c>
      <x:c r="V74" s="13" t="n"/>
      <x:c r="W74" s="15">
        <x:f>IFERROR(MAX(0,Q74-V74),0)</x:f>
        <x:v>0</x:v>
      </x:c>
      <x:c r="X74" s="11" t="str">
        <x:f>IF((Parameters!$B$3-SUM($M$2:M74))&lt;Parameters!$B$4,"Warning","OK")</x:f>
        <x:v>Warning</x:v>
      </x:c>
      <x:c r="Y74" s="13" t="n"/>
    </x:row>
    <x:row r="75">
      <x:c r="A75" s="11" t="str">
        <x:f>"RUN-"&amp;TEXT(74,"000")</x:f>
        <x:v>RUN-074</x:v>
      </x:c>
      <x:c r="B75" s="12" t="n"/>
      <x:c r="C75" s="11">
        <x:f>IF(B75&lt;&gt;"",MONTH(B75),"")</x:f>
      </x:c>
      <x:c r="D75" s="13" t="n"/>
      <x:c r="E75" s="13" t="n"/>
      <x:c r="F75" s="13" t="n"/>
      <x:c r="G75" s="13" t="n"/>
      <x:c r="H75" s="14" t="n"/>
      <x:c r="I75" s="14" t="n"/>
      <x:c r="J75" s="14" t="n"/>
      <x:c r="K75" s="14" t="n"/>
      <x:c r="L75" s="14" t="n"/>
      <x:c r="M75" s="15">
        <x:f>IFERROR(H75+K75+L75,0)</x:f>
        <x:v>0</x:v>
      </x:c>
      <x:c r="N75" s="16">
        <x:f>IFERROR(M75*Parameters!$B$2,0)</x:f>
        <x:v>0</x:v>
      </x:c>
      <x:c r="O75" s="16">
        <x:f>IFERROR(K75*Parameters!$B$2,0)</x:f>
        <x:v>0</x:v>
      </x:c>
      <x:c r="P75" s="16">
        <x:f>IFERROR(L75*Parameters!$B$2,0)</x:f>
        <x:v>0</x:v>
      </x:c>
      <x:c r="Q75" s="16">
        <x:f>IFERROR(H75*I75,0)</x:f>
        <x:v>0</x:v>
      </x:c>
      <x:c r="R75" s="16">
        <x:f>IFERROR(Q75-(H75*Parameters!$B$2),0)</x:f>
        <x:v>0</x:v>
      </x:c>
      <x:c r="S75" s="16">
        <x:f>IFERROR(R75-J75,0)</x:f>
        <x:v>0</x:v>
      </x:c>
      <x:c r="T75" s="16">
        <x:f>IFERROR(S75*Parameters!$B$5,0)</x:f>
        <x:v>0</x:v>
      </x:c>
      <x:c r="U75" s="16">
        <x:f>IFERROR(S75*Parameters!$B$6,0)</x:f>
        <x:v>0</x:v>
      </x:c>
      <x:c r="V75" s="13" t="n"/>
      <x:c r="W75" s="15">
        <x:f>IFERROR(MAX(0,Q75-V75),0)</x:f>
        <x:v>0</x:v>
      </x:c>
      <x:c r="X75" s="11" t="str">
        <x:f>IF((Parameters!$B$3-SUM($M$2:M75))&lt;Parameters!$B$4,"Warning","OK")</x:f>
        <x:v>Warning</x:v>
      </x:c>
      <x:c r="Y75" s="13" t="n"/>
    </x:row>
    <x:row r="76">
      <x:c r="A76" s="11" t="str">
        <x:f>"RUN-"&amp;TEXT(75,"000")</x:f>
        <x:v>RUN-075</x:v>
      </x:c>
      <x:c r="B76" s="12" t="n"/>
      <x:c r="C76" s="11">
        <x:f>IF(B76&lt;&gt;"",MONTH(B76),"")</x:f>
      </x:c>
      <x:c r="D76" s="13" t="n"/>
      <x:c r="E76" s="13" t="n"/>
      <x:c r="F76" s="13" t="n"/>
      <x:c r="G76" s="13" t="n"/>
      <x:c r="H76" s="14" t="n"/>
      <x:c r="I76" s="14" t="n"/>
      <x:c r="J76" s="14" t="n"/>
      <x:c r="K76" s="14" t="n"/>
      <x:c r="L76" s="14" t="n"/>
      <x:c r="M76" s="15">
        <x:f>IFERROR(H76+K76+L76,0)</x:f>
        <x:v>0</x:v>
      </x:c>
      <x:c r="N76" s="16">
        <x:f>IFERROR(M76*Parameters!$B$2,0)</x:f>
        <x:v>0</x:v>
      </x:c>
      <x:c r="O76" s="16">
        <x:f>IFERROR(K76*Parameters!$B$2,0)</x:f>
        <x:v>0</x:v>
      </x:c>
      <x:c r="P76" s="16">
        <x:f>IFERROR(L76*Parameters!$B$2,0)</x:f>
        <x:v>0</x:v>
      </x:c>
      <x:c r="Q76" s="16">
        <x:f>IFERROR(H76*I76,0)</x:f>
        <x:v>0</x:v>
      </x:c>
      <x:c r="R76" s="16">
        <x:f>IFERROR(Q76-(H76*Parameters!$B$2),0)</x:f>
        <x:v>0</x:v>
      </x:c>
      <x:c r="S76" s="16">
        <x:f>IFERROR(R76-J76,0)</x:f>
        <x:v>0</x:v>
      </x:c>
      <x:c r="T76" s="16">
        <x:f>IFERROR(S76*Parameters!$B$5,0)</x:f>
        <x:v>0</x:v>
      </x:c>
      <x:c r="U76" s="16">
        <x:f>IFERROR(S76*Parameters!$B$6,0)</x:f>
        <x:v>0</x:v>
      </x:c>
      <x:c r="V76" s="13" t="n"/>
      <x:c r="W76" s="15">
        <x:f>IFERROR(MAX(0,Q76-V76),0)</x:f>
        <x:v>0</x:v>
      </x:c>
      <x:c r="X76" s="11" t="str">
        <x:f>IF((Parameters!$B$3-SUM($M$2:M76))&lt;Parameters!$B$4,"Warning","OK")</x:f>
        <x:v>Warning</x:v>
      </x:c>
      <x:c r="Y76" s="13" t="n"/>
    </x:row>
    <x:row r="77">
      <x:c r="A77" s="11" t="str">
        <x:f>"RUN-"&amp;TEXT(76,"000")</x:f>
        <x:v>RUN-076</x:v>
      </x:c>
      <x:c r="B77" s="12" t="n"/>
      <x:c r="C77" s="11">
        <x:f>IF(B77&lt;&gt;"",MONTH(B77),"")</x:f>
      </x:c>
      <x:c r="D77" s="13" t="n"/>
      <x:c r="E77" s="13" t="n"/>
      <x:c r="F77" s="13" t="n"/>
      <x:c r="G77" s="13" t="n"/>
      <x:c r="H77" s="14" t="n"/>
      <x:c r="I77" s="14" t="n"/>
      <x:c r="J77" s="14" t="n"/>
      <x:c r="K77" s="14" t="n"/>
      <x:c r="L77" s="14" t="n"/>
      <x:c r="M77" s="15">
        <x:f>IFERROR(H77+K77+L77,0)</x:f>
        <x:v>0</x:v>
      </x:c>
      <x:c r="N77" s="16">
        <x:f>IFERROR(M77*Parameters!$B$2,0)</x:f>
        <x:v>0</x:v>
      </x:c>
      <x:c r="O77" s="16">
        <x:f>IFERROR(K77*Parameters!$B$2,0)</x:f>
        <x:v>0</x:v>
      </x:c>
      <x:c r="P77" s="16">
        <x:f>IFERROR(L77*Parameters!$B$2,0)</x:f>
        <x:v>0</x:v>
      </x:c>
      <x:c r="Q77" s="16">
        <x:f>IFERROR(H77*I77,0)</x:f>
        <x:v>0</x:v>
      </x:c>
      <x:c r="R77" s="16">
        <x:f>IFERROR(Q77-(H77*Parameters!$B$2),0)</x:f>
        <x:v>0</x:v>
      </x:c>
      <x:c r="S77" s="16">
        <x:f>IFERROR(R77-J77,0)</x:f>
        <x:v>0</x:v>
      </x:c>
      <x:c r="T77" s="16">
        <x:f>IFERROR(S77*Parameters!$B$5,0)</x:f>
        <x:v>0</x:v>
      </x:c>
      <x:c r="U77" s="16">
        <x:f>IFERROR(S77*Parameters!$B$6,0)</x:f>
        <x:v>0</x:v>
      </x:c>
      <x:c r="V77" s="13" t="n"/>
      <x:c r="W77" s="15">
        <x:f>IFERROR(MAX(0,Q77-V77),0)</x:f>
        <x:v>0</x:v>
      </x:c>
      <x:c r="X77" s="11" t="str">
        <x:f>IF((Parameters!$B$3-SUM($M$2:M77))&lt;Parameters!$B$4,"Warning","OK")</x:f>
        <x:v>Warning</x:v>
      </x:c>
      <x:c r="Y77" s="13" t="n"/>
    </x:row>
    <x:row r="78">
      <x:c r="A78" s="11" t="str">
        <x:f>"RUN-"&amp;TEXT(77,"000")</x:f>
        <x:v>RUN-077</x:v>
      </x:c>
      <x:c r="B78" s="12" t="n"/>
      <x:c r="C78" s="11">
        <x:f>IF(B78&lt;&gt;"",MONTH(B78),"")</x:f>
      </x:c>
      <x:c r="D78" s="13" t="n"/>
      <x:c r="E78" s="13" t="n"/>
      <x:c r="F78" s="13" t="n"/>
      <x:c r="G78" s="13" t="n"/>
      <x:c r="H78" s="14" t="n"/>
      <x:c r="I78" s="14" t="n"/>
      <x:c r="J78" s="14" t="n"/>
      <x:c r="K78" s="14" t="n"/>
      <x:c r="L78" s="14" t="n"/>
      <x:c r="M78" s="15">
        <x:f>IFERROR(H78+K78+L78,0)</x:f>
        <x:v>0</x:v>
      </x:c>
      <x:c r="N78" s="16">
        <x:f>IFERROR(M78*Parameters!$B$2,0)</x:f>
        <x:v>0</x:v>
      </x:c>
      <x:c r="O78" s="16">
        <x:f>IFERROR(K78*Parameters!$B$2,0)</x:f>
        <x:v>0</x:v>
      </x:c>
      <x:c r="P78" s="16">
        <x:f>IFERROR(L78*Parameters!$B$2,0)</x:f>
        <x:v>0</x:v>
      </x:c>
      <x:c r="Q78" s="16">
        <x:f>IFERROR(H78*I78,0)</x:f>
        <x:v>0</x:v>
      </x:c>
      <x:c r="R78" s="16">
        <x:f>IFERROR(Q78-(H78*Parameters!$B$2),0)</x:f>
        <x:v>0</x:v>
      </x:c>
      <x:c r="S78" s="16">
        <x:f>IFERROR(R78-J78,0)</x:f>
        <x:v>0</x:v>
      </x:c>
      <x:c r="T78" s="16">
        <x:f>IFERROR(S78*Parameters!$B$5,0)</x:f>
        <x:v>0</x:v>
      </x:c>
      <x:c r="U78" s="16">
        <x:f>IFERROR(S78*Parameters!$B$6,0)</x:f>
        <x:v>0</x:v>
      </x:c>
      <x:c r="V78" s="13" t="n"/>
      <x:c r="W78" s="15">
        <x:f>IFERROR(MAX(0,Q78-V78),0)</x:f>
        <x:v>0</x:v>
      </x:c>
      <x:c r="X78" s="11" t="str">
        <x:f>IF((Parameters!$B$3-SUM($M$2:M78))&lt;Parameters!$B$4,"Warning","OK")</x:f>
        <x:v>Warning</x:v>
      </x:c>
      <x:c r="Y78" s="13" t="n"/>
    </x:row>
    <x:row r="79">
      <x:c r="A79" s="11" t="str">
        <x:f>"RUN-"&amp;TEXT(78,"000")</x:f>
        <x:v>RUN-078</x:v>
      </x:c>
      <x:c r="B79" s="12" t="n"/>
      <x:c r="C79" s="11">
        <x:f>IF(B79&lt;&gt;"",MONTH(B79),"")</x:f>
      </x:c>
      <x:c r="D79" s="13" t="n"/>
      <x:c r="E79" s="13" t="n"/>
      <x:c r="F79" s="13" t="n"/>
      <x:c r="G79" s="13" t="n"/>
      <x:c r="H79" s="14" t="n"/>
      <x:c r="I79" s="14" t="n"/>
      <x:c r="J79" s="14" t="n"/>
      <x:c r="K79" s="14" t="n"/>
      <x:c r="L79" s="14" t="n"/>
      <x:c r="M79" s="15">
        <x:f>IFERROR(H79+K79+L79,0)</x:f>
        <x:v>0</x:v>
      </x:c>
      <x:c r="N79" s="16">
        <x:f>IFERROR(M79*Parameters!$B$2,0)</x:f>
        <x:v>0</x:v>
      </x:c>
      <x:c r="O79" s="16">
        <x:f>IFERROR(K79*Parameters!$B$2,0)</x:f>
        <x:v>0</x:v>
      </x:c>
      <x:c r="P79" s="16">
        <x:f>IFERROR(L79*Parameters!$B$2,0)</x:f>
        <x:v>0</x:v>
      </x:c>
      <x:c r="Q79" s="16">
        <x:f>IFERROR(H79*I79,0)</x:f>
        <x:v>0</x:v>
      </x:c>
      <x:c r="R79" s="16">
        <x:f>IFERROR(Q79-(H79*Parameters!$B$2),0)</x:f>
        <x:v>0</x:v>
      </x:c>
      <x:c r="S79" s="16">
        <x:f>IFERROR(R79-J79,0)</x:f>
        <x:v>0</x:v>
      </x:c>
      <x:c r="T79" s="16">
        <x:f>IFERROR(S79*Parameters!$B$5,0)</x:f>
        <x:v>0</x:v>
      </x:c>
      <x:c r="U79" s="16">
        <x:f>IFERROR(S79*Parameters!$B$6,0)</x:f>
        <x:v>0</x:v>
      </x:c>
      <x:c r="V79" s="13" t="n"/>
      <x:c r="W79" s="15">
        <x:f>IFERROR(MAX(0,Q79-V79),0)</x:f>
        <x:v>0</x:v>
      </x:c>
      <x:c r="X79" s="11" t="str">
        <x:f>IF((Parameters!$B$3-SUM($M$2:M79))&lt;Parameters!$B$4,"Warning","OK")</x:f>
        <x:v>Warning</x:v>
      </x:c>
      <x:c r="Y79" s="13" t="n"/>
    </x:row>
    <x:row r="80">
      <x:c r="A80" s="11" t="str">
        <x:f>"RUN-"&amp;TEXT(79,"000")</x:f>
        <x:v>RUN-079</x:v>
      </x:c>
      <x:c r="B80" s="12" t="n"/>
      <x:c r="C80" s="11">
        <x:f>IF(B80&lt;&gt;"",MONTH(B80),"")</x:f>
      </x:c>
      <x:c r="D80" s="13" t="n"/>
      <x:c r="E80" s="13" t="n"/>
      <x:c r="F80" s="13" t="n"/>
      <x:c r="G80" s="13" t="n"/>
      <x:c r="H80" s="14" t="n"/>
      <x:c r="I80" s="14" t="n"/>
      <x:c r="J80" s="14" t="n"/>
      <x:c r="K80" s="14" t="n"/>
      <x:c r="L80" s="14" t="n"/>
      <x:c r="M80" s="15">
        <x:f>IFERROR(H80+K80+L80,0)</x:f>
        <x:v>0</x:v>
      </x:c>
      <x:c r="N80" s="16">
        <x:f>IFERROR(M80*Parameters!$B$2,0)</x:f>
        <x:v>0</x:v>
      </x:c>
      <x:c r="O80" s="16">
        <x:f>IFERROR(K80*Parameters!$B$2,0)</x:f>
        <x:v>0</x:v>
      </x:c>
      <x:c r="P80" s="16">
        <x:f>IFERROR(L80*Parameters!$B$2,0)</x:f>
        <x:v>0</x:v>
      </x:c>
      <x:c r="Q80" s="16">
        <x:f>IFERROR(H80*I80,0)</x:f>
        <x:v>0</x:v>
      </x:c>
      <x:c r="R80" s="16">
        <x:f>IFERROR(Q80-(H80*Parameters!$B$2),0)</x:f>
        <x:v>0</x:v>
      </x:c>
      <x:c r="S80" s="16">
        <x:f>IFERROR(R80-J80,0)</x:f>
        <x:v>0</x:v>
      </x:c>
      <x:c r="T80" s="16">
        <x:f>IFERROR(S80*Parameters!$B$5,0)</x:f>
        <x:v>0</x:v>
      </x:c>
      <x:c r="U80" s="16">
        <x:f>IFERROR(S80*Parameters!$B$6,0)</x:f>
        <x:v>0</x:v>
      </x:c>
      <x:c r="V80" s="13" t="n"/>
      <x:c r="W80" s="15">
        <x:f>IFERROR(MAX(0,Q80-V80),0)</x:f>
        <x:v>0</x:v>
      </x:c>
      <x:c r="X80" s="11" t="str">
        <x:f>IF((Parameters!$B$3-SUM($M$2:M80))&lt;Parameters!$B$4,"Warning","OK")</x:f>
        <x:v>Warning</x:v>
      </x:c>
      <x:c r="Y80" s="13" t="n"/>
    </x:row>
    <x:row r="81">
      <x:c r="A81" s="11" t="str">
        <x:f>"RUN-"&amp;TEXT(80,"000")</x:f>
        <x:v>RUN-080</x:v>
      </x:c>
      <x:c r="B81" s="12" t="n"/>
      <x:c r="C81" s="11">
        <x:f>IF(B81&lt;&gt;"",MONTH(B81),"")</x:f>
      </x:c>
      <x:c r="D81" s="13" t="n"/>
      <x:c r="E81" s="13" t="n"/>
      <x:c r="F81" s="13" t="n"/>
      <x:c r="G81" s="13" t="n"/>
      <x:c r="H81" s="14" t="n"/>
      <x:c r="I81" s="14" t="n"/>
      <x:c r="J81" s="14" t="n"/>
      <x:c r="K81" s="14" t="n"/>
      <x:c r="L81" s="14" t="n"/>
      <x:c r="M81" s="15">
        <x:f>IFERROR(H81+K81+L81,0)</x:f>
        <x:v>0</x:v>
      </x:c>
      <x:c r="N81" s="16">
        <x:f>IFERROR(M81*Parameters!$B$2,0)</x:f>
        <x:v>0</x:v>
      </x:c>
      <x:c r="O81" s="16">
        <x:f>IFERROR(K81*Parameters!$B$2,0)</x:f>
        <x:v>0</x:v>
      </x:c>
      <x:c r="P81" s="16">
        <x:f>IFERROR(L81*Parameters!$B$2,0)</x:f>
        <x:v>0</x:v>
      </x:c>
      <x:c r="Q81" s="16">
        <x:f>IFERROR(H81*I81,0)</x:f>
        <x:v>0</x:v>
      </x:c>
      <x:c r="R81" s="16">
        <x:f>IFERROR(Q81-(H81*Parameters!$B$2),0)</x:f>
        <x:v>0</x:v>
      </x:c>
      <x:c r="S81" s="16">
        <x:f>IFERROR(R81-J81,0)</x:f>
        <x:v>0</x:v>
      </x:c>
      <x:c r="T81" s="16">
        <x:f>IFERROR(S81*Parameters!$B$5,0)</x:f>
        <x:v>0</x:v>
      </x:c>
      <x:c r="U81" s="16">
        <x:f>IFERROR(S81*Parameters!$B$6,0)</x:f>
        <x:v>0</x:v>
      </x:c>
      <x:c r="V81" s="13" t="n"/>
      <x:c r="W81" s="15">
        <x:f>IFERROR(MAX(0,Q81-V81),0)</x:f>
        <x:v>0</x:v>
      </x:c>
      <x:c r="X81" s="11" t="str">
        <x:f>IF((Parameters!$B$3-SUM($M$2:M81))&lt;Parameters!$B$4,"Warning","OK")</x:f>
        <x:v>Warning</x:v>
      </x:c>
      <x:c r="Y81" s="13" t="n"/>
    </x:row>
    <x:row r="82">
      <x:c r="A82" s="11" t="str">
        <x:f>"RUN-"&amp;TEXT(81,"000")</x:f>
        <x:v>RUN-081</x:v>
      </x:c>
      <x:c r="B82" s="12" t="n"/>
      <x:c r="C82" s="11">
        <x:f>IF(B82&lt;&gt;"",MONTH(B82),"")</x:f>
      </x:c>
      <x:c r="D82" s="13" t="n"/>
      <x:c r="E82" s="13" t="n"/>
      <x:c r="F82" s="13" t="n"/>
      <x:c r="G82" s="13" t="n"/>
      <x:c r="H82" s="14" t="n"/>
      <x:c r="I82" s="14" t="n"/>
      <x:c r="J82" s="14" t="n"/>
      <x:c r="K82" s="14" t="n"/>
      <x:c r="L82" s="14" t="n"/>
      <x:c r="M82" s="15">
        <x:f>IFERROR(H82+K82+L82,0)</x:f>
        <x:v>0</x:v>
      </x:c>
      <x:c r="N82" s="16">
        <x:f>IFERROR(M82*Parameters!$B$2,0)</x:f>
        <x:v>0</x:v>
      </x:c>
      <x:c r="O82" s="16">
        <x:f>IFERROR(K82*Parameters!$B$2,0)</x:f>
        <x:v>0</x:v>
      </x:c>
      <x:c r="P82" s="16">
        <x:f>IFERROR(L82*Parameters!$B$2,0)</x:f>
        <x:v>0</x:v>
      </x:c>
      <x:c r="Q82" s="16">
        <x:f>IFERROR(H82*I82,0)</x:f>
        <x:v>0</x:v>
      </x:c>
      <x:c r="R82" s="16">
        <x:f>IFERROR(Q82-(H82*Parameters!$B$2),0)</x:f>
        <x:v>0</x:v>
      </x:c>
      <x:c r="S82" s="16">
        <x:f>IFERROR(R82-J82,0)</x:f>
        <x:v>0</x:v>
      </x:c>
      <x:c r="T82" s="16">
        <x:f>IFERROR(S82*Parameters!$B$5,0)</x:f>
        <x:v>0</x:v>
      </x:c>
      <x:c r="U82" s="16">
        <x:f>IFERROR(S82*Parameters!$B$6,0)</x:f>
        <x:v>0</x:v>
      </x:c>
      <x:c r="V82" s="13" t="n"/>
      <x:c r="W82" s="15">
        <x:f>IFERROR(MAX(0,Q82-V82),0)</x:f>
        <x:v>0</x:v>
      </x:c>
      <x:c r="X82" s="11" t="str">
        <x:f>IF((Parameters!$B$3-SUM($M$2:M82))&lt;Parameters!$B$4,"Warning","OK")</x:f>
        <x:v>Warning</x:v>
      </x:c>
      <x:c r="Y82" s="13" t="n"/>
    </x:row>
    <x:row r="83">
      <x:c r="A83" s="11" t="str">
        <x:f>"RUN-"&amp;TEXT(82,"000")</x:f>
        <x:v>RUN-082</x:v>
      </x:c>
      <x:c r="B83" s="12" t="n"/>
      <x:c r="C83" s="11">
        <x:f>IF(B83&lt;&gt;"",MONTH(B83),"")</x:f>
      </x:c>
      <x:c r="D83" s="13" t="n"/>
      <x:c r="E83" s="13" t="n"/>
      <x:c r="F83" s="13" t="n"/>
      <x:c r="G83" s="13" t="n"/>
      <x:c r="H83" s="14" t="n"/>
      <x:c r="I83" s="14" t="n"/>
      <x:c r="J83" s="14" t="n"/>
      <x:c r="K83" s="14" t="n"/>
      <x:c r="L83" s="14" t="n"/>
      <x:c r="M83" s="15">
        <x:f>IFERROR(H83+K83+L83,0)</x:f>
        <x:v>0</x:v>
      </x:c>
      <x:c r="N83" s="16">
        <x:f>IFERROR(M83*Parameters!$B$2,0)</x:f>
        <x:v>0</x:v>
      </x:c>
      <x:c r="O83" s="16">
        <x:f>IFERROR(K83*Parameters!$B$2,0)</x:f>
        <x:v>0</x:v>
      </x:c>
      <x:c r="P83" s="16">
        <x:f>IFERROR(L83*Parameters!$B$2,0)</x:f>
        <x:v>0</x:v>
      </x:c>
      <x:c r="Q83" s="16">
        <x:f>IFERROR(H83*I83,0)</x:f>
        <x:v>0</x:v>
      </x:c>
      <x:c r="R83" s="16">
        <x:f>IFERROR(Q83-(H83*Parameters!$B$2),0)</x:f>
        <x:v>0</x:v>
      </x:c>
      <x:c r="S83" s="16">
        <x:f>IFERROR(R83-J83,0)</x:f>
        <x:v>0</x:v>
      </x:c>
      <x:c r="T83" s="16">
        <x:f>IFERROR(S83*Parameters!$B$5,0)</x:f>
        <x:v>0</x:v>
      </x:c>
      <x:c r="U83" s="16">
        <x:f>IFERROR(S83*Parameters!$B$6,0)</x:f>
        <x:v>0</x:v>
      </x:c>
      <x:c r="V83" s="13" t="n"/>
      <x:c r="W83" s="15">
        <x:f>IFERROR(MAX(0,Q83-V83),0)</x:f>
        <x:v>0</x:v>
      </x:c>
      <x:c r="X83" s="11" t="str">
        <x:f>IF((Parameters!$B$3-SUM($M$2:M83))&lt;Parameters!$B$4,"Warning","OK")</x:f>
        <x:v>Warning</x:v>
      </x:c>
      <x:c r="Y83" s="13" t="n"/>
    </x:row>
    <x:row r="84">
      <x:c r="A84" s="11" t="str">
        <x:f>"RUN-"&amp;TEXT(83,"000")</x:f>
        <x:v>RUN-083</x:v>
      </x:c>
      <x:c r="B84" s="12" t="n"/>
      <x:c r="C84" s="11">
        <x:f>IF(B84&lt;&gt;"",MONTH(B84),"")</x:f>
      </x:c>
      <x:c r="D84" s="13" t="n"/>
      <x:c r="E84" s="13" t="n"/>
      <x:c r="F84" s="13" t="n"/>
      <x:c r="G84" s="13" t="n"/>
      <x:c r="H84" s="14" t="n"/>
      <x:c r="I84" s="14" t="n"/>
      <x:c r="J84" s="14" t="n"/>
      <x:c r="K84" s="14" t="n"/>
      <x:c r="L84" s="14" t="n"/>
      <x:c r="M84" s="15">
        <x:f>IFERROR(H84+K84+L84,0)</x:f>
        <x:v>0</x:v>
      </x:c>
      <x:c r="N84" s="16">
        <x:f>IFERROR(M84*Parameters!$B$2,0)</x:f>
        <x:v>0</x:v>
      </x:c>
      <x:c r="O84" s="16">
        <x:f>IFERROR(K84*Parameters!$B$2,0)</x:f>
        <x:v>0</x:v>
      </x:c>
      <x:c r="P84" s="16">
        <x:f>IFERROR(L84*Parameters!$B$2,0)</x:f>
        <x:v>0</x:v>
      </x:c>
      <x:c r="Q84" s="16">
        <x:f>IFERROR(H84*I84,0)</x:f>
        <x:v>0</x:v>
      </x:c>
      <x:c r="R84" s="16">
        <x:f>IFERROR(Q84-(H84*Parameters!$B$2),0)</x:f>
        <x:v>0</x:v>
      </x:c>
      <x:c r="S84" s="16">
        <x:f>IFERROR(R84-J84,0)</x:f>
        <x:v>0</x:v>
      </x:c>
      <x:c r="T84" s="16">
        <x:f>IFERROR(S84*Parameters!$B$5,0)</x:f>
        <x:v>0</x:v>
      </x:c>
      <x:c r="U84" s="16">
        <x:f>IFERROR(S84*Parameters!$B$6,0)</x:f>
        <x:v>0</x:v>
      </x:c>
      <x:c r="V84" s="13" t="n"/>
      <x:c r="W84" s="15">
        <x:f>IFERROR(MAX(0,Q84-V84),0)</x:f>
        <x:v>0</x:v>
      </x:c>
      <x:c r="X84" s="11" t="str">
        <x:f>IF((Parameters!$B$3-SUM($M$2:M84))&lt;Parameters!$B$4,"Warning","OK")</x:f>
        <x:v>Warning</x:v>
      </x:c>
      <x:c r="Y84" s="13" t="n"/>
    </x:row>
    <x:row r="85">
      <x:c r="A85" s="11" t="str">
        <x:f>"RUN-"&amp;TEXT(84,"000")</x:f>
        <x:v>RUN-084</x:v>
      </x:c>
      <x:c r="B85" s="12" t="n"/>
      <x:c r="C85" s="11">
        <x:f>IF(B85&lt;&gt;"",MONTH(B85),"")</x:f>
      </x:c>
      <x:c r="D85" s="13" t="n"/>
      <x:c r="E85" s="13" t="n"/>
      <x:c r="F85" s="13" t="n"/>
      <x:c r="G85" s="13" t="n"/>
      <x:c r="H85" s="14" t="n"/>
      <x:c r="I85" s="14" t="n"/>
      <x:c r="J85" s="14" t="n"/>
      <x:c r="K85" s="14" t="n"/>
      <x:c r="L85" s="14" t="n"/>
      <x:c r="M85" s="15">
        <x:f>IFERROR(H85+K85+L85,0)</x:f>
        <x:v>0</x:v>
      </x:c>
      <x:c r="N85" s="16">
        <x:f>IFERROR(M85*Parameters!$B$2,0)</x:f>
        <x:v>0</x:v>
      </x:c>
      <x:c r="O85" s="16">
        <x:f>IFERROR(K85*Parameters!$B$2,0)</x:f>
        <x:v>0</x:v>
      </x:c>
      <x:c r="P85" s="16">
        <x:f>IFERROR(L85*Parameters!$B$2,0)</x:f>
        <x:v>0</x:v>
      </x:c>
      <x:c r="Q85" s="16">
        <x:f>IFERROR(H85*I85,0)</x:f>
        <x:v>0</x:v>
      </x:c>
      <x:c r="R85" s="16">
        <x:f>IFERROR(Q85-(H85*Parameters!$B$2),0)</x:f>
        <x:v>0</x:v>
      </x:c>
      <x:c r="S85" s="16">
        <x:f>IFERROR(R85-J85,0)</x:f>
        <x:v>0</x:v>
      </x:c>
      <x:c r="T85" s="16">
        <x:f>IFERROR(S85*Parameters!$B$5,0)</x:f>
        <x:v>0</x:v>
      </x:c>
      <x:c r="U85" s="16">
        <x:f>IFERROR(S85*Parameters!$B$6,0)</x:f>
        <x:v>0</x:v>
      </x:c>
      <x:c r="V85" s="13" t="n"/>
      <x:c r="W85" s="15">
        <x:f>IFERROR(MAX(0,Q85-V85),0)</x:f>
        <x:v>0</x:v>
      </x:c>
      <x:c r="X85" s="11" t="str">
        <x:f>IF((Parameters!$B$3-SUM($M$2:M85))&lt;Parameters!$B$4,"Warning","OK")</x:f>
        <x:v>Warning</x:v>
      </x:c>
      <x:c r="Y85" s="13" t="n"/>
    </x:row>
    <x:row r="86">
      <x:c r="A86" s="11" t="str">
        <x:f>"RUN-"&amp;TEXT(85,"000")</x:f>
        <x:v>RUN-085</x:v>
      </x:c>
      <x:c r="B86" s="12" t="n"/>
      <x:c r="C86" s="11">
        <x:f>IF(B86&lt;&gt;"",MONTH(B86),"")</x:f>
      </x:c>
      <x:c r="D86" s="13" t="n"/>
      <x:c r="E86" s="13" t="n"/>
      <x:c r="F86" s="13" t="n"/>
      <x:c r="G86" s="13" t="n"/>
      <x:c r="H86" s="14" t="n"/>
      <x:c r="I86" s="14" t="n"/>
      <x:c r="J86" s="14" t="n"/>
      <x:c r="K86" s="14" t="n"/>
      <x:c r="L86" s="14" t="n"/>
      <x:c r="M86" s="15">
        <x:f>IFERROR(H86+K86+L86,0)</x:f>
        <x:v>0</x:v>
      </x:c>
      <x:c r="N86" s="16">
        <x:f>IFERROR(M86*Parameters!$B$2,0)</x:f>
        <x:v>0</x:v>
      </x:c>
      <x:c r="O86" s="16">
        <x:f>IFERROR(K86*Parameters!$B$2,0)</x:f>
        <x:v>0</x:v>
      </x:c>
      <x:c r="P86" s="16">
        <x:f>IFERROR(L86*Parameters!$B$2,0)</x:f>
        <x:v>0</x:v>
      </x:c>
      <x:c r="Q86" s="16">
        <x:f>IFERROR(H86*I86,0)</x:f>
        <x:v>0</x:v>
      </x:c>
      <x:c r="R86" s="16">
        <x:f>IFERROR(Q86-(H86*Parameters!$B$2),0)</x:f>
        <x:v>0</x:v>
      </x:c>
      <x:c r="S86" s="16">
        <x:f>IFERROR(R86-J86,0)</x:f>
        <x:v>0</x:v>
      </x:c>
      <x:c r="T86" s="16">
        <x:f>IFERROR(S86*Parameters!$B$5,0)</x:f>
        <x:v>0</x:v>
      </x:c>
      <x:c r="U86" s="16">
        <x:f>IFERROR(S86*Parameters!$B$6,0)</x:f>
        <x:v>0</x:v>
      </x:c>
      <x:c r="V86" s="13" t="n"/>
      <x:c r="W86" s="15">
        <x:f>IFERROR(MAX(0,Q86-V86),0)</x:f>
        <x:v>0</x:v>
      </x:c>
      <x:c r="X86" s="11" t="str">
        <x:f>IF((Parameters!$B$3-SUM($M$2:M86))&lt;Parameters!$B$4,"Warning","OK")</x:f>
        <x:v>Warning</x:v>
      </x:c>
      <x:c r="Y86" s="13" t="n"/>
    </x:row>
    <x:row r="87">
      <x:c r="A87" s="11" t="str">
        <x:f>"RUN-"&amp;TEXT(86,"000")</x:f>
        <x:v>RUN-086</x:v>
      </x:c>
      <x:c r="B87" s="12" t="n"/>
      <x:c r="C87" s="11">
        <x:f>IF(B87&lt;&gt;"",MONTH(B87),"")</x:f>
      </x:c>
      <x:c r="D87" s="13" t="n"/>
      <x:c r="E87" s="13" t="n"/>
      <x:c r="F87" s="13" t="n"/>
      <x:c r="G87" s="13" t="n"/>
      <x:c r="H87" s="14" t="n"/>
      <x:c r="I87" s="14" t="n"/>
      <x:c r="J87" s="14" t="n"/>
      <x:c r="K87" s="14" t="n"/>
      <x:c r="L87" s="14" t="n"/>
      <x:c r="M87" s="15">
        <x:f>IFERROR(H87+K87+L87,0)</x:f>
        <x:v>0</x:v>
      </x:c>
      <x:c r="N87" s="16">
        <x:f>IFERROR(M87*Parameters!$B$2,0)</x:f>
        <x:v>0</x:v>
      </x:c>
      <x:c r="O87" s="16">
        <x:f>IFERROR(K87*Parameters!$B$2,0)</x:f>
        <x:v>0</x:v>
      </x:c>
      <x:c r="P87" s="16">
        <x:f>IFERROR(L87*Parameters!$B$2,0)</x:f>
        <x:v>0</x:v>
      </x:c>
      <x:c r="Q87" s="16">
        <x:f>IFERROR(H87*I87,0)</x:f>
        <x:v>0</x:v>
      </x:c>
      <x:c r="R87" s="16">
        <x:f>IFERROR(Q87-(H87*Parameters!$B$2),0)</x:f>
        <x:v>0</x:v>
      </x:c>
      <x:c r="S87" s="16">
        <x:f>IFERROR(R87-J87,0)</x:f>
        <x:v>0</x:v>
      </x:c>
      <x:c r="T87" s="16">
        <x:f>IFERROR(S87*Parameters!$B$5,0)</x:f>
        <x:v>0</x:v>
      </x:c>
      <x:c r="U87" s="16">
        <x:f>IFERROR(S87*Parameters!$B$6,0)</x:f>
        <x:v>0</x:v>
      </x:c>
      <x:c r="V87" s="13" t="n"/>
      <x:c r="W87" s="15">
        <x:f>IFERROR(MAX(0,Q87-V87),0)</x:f>
        <x:v>0</x:v>
      </x:c>
      <x:c r="X87" s="11" t="str">
        <x:f>IF((Parameters!$B$3-SUM($M$2:M87))&lt;Parameters!$B$4,"Warning","OK")</x:f>
        <x:v>Warning</x:v>
      </x:c>
      <x:c r="Y87" s="13" t="n"/>
    </x:row>
    <x:row r="88">
      <x:c r="A88" s="11" t="str">
        <x:f>"RUN-"&amp;TEXT(87,"000")</x:f>
        <x:v>RUN-087</x:v>
      </x:c>
      <x:c r="B88" s="12" t="n"/>
      <x:c r="C88" s="11">
        <x:f>IF(B88&lt;&gt;"",MONTH(B88),"")</x:f>
      </x:c>
      <x:c r="D88" s="13" t="n"/>
      <x:c r="E88" s="13" t="n"/>
      <x:c r="F88" s="13" t="n"/>
      <x:c r="G88" s="13" t="n"/>
      <x:c r="H88" s="14" t="n"/>
      <x:c r="I88" s="14" t="n"/>
      <x:c r="J88" s="14" t="n"/>
      <x:c r="K88" s="14" t="n"/>
      <x:c r="L88" s="14" t="n"/>
      <x:c r="M88" s="15">
        <x:f>IFERROR(H88+K88+L88,0)</x:f>
        <x:v>0</x:v>
      </x:c>
      <x:c r="N88" s="16">
        <x:f>IFERROR(M88*Parameters!$B$2,0)</x:f>
        <x:v>0</x:v>
      </x:c>
      <x:c r="O88" s="16">
        <x:f>IFERROR(K88*Parameters!$B$2,0)</x:f>
        <x:v>0</x:v>
      </x:c>
      <x:c r="P88" s="16">
        <x:f>IFERROR(L88*Parameters!$B$2,0)</x:f>
        <x:v>0</x:v>
      </x:c>
      <x:c r="Q88" s="16">
        <x:f>IFERROR(H88*I88,0)</x:f>
        <x:v>0</x:v>
      </x:c>
      <x:c r="R88" s="16">
        <x:f>IFERROR(Q88-(H88*Parameters!$B$2),0)</x:f>
        <x:v>0</x:v>
      </x:c>
      <x:c r="S88" s="16">
        <x:f>IFERROR(R88-J88,0)</x:f>
        <x:v>0</x:v>
      </x:c>
      <x:c r="T88" s="16">
        <x:f>IFERROR(S88*Parameters!$B$5,0)</x:f>
        <x:v>0</x:v>
      </x:c>
      <x:c r="U88" s="16">
        <x:f>IFERROR(S88*Parameters!$B$6,0)</x:f>
        <x:v>0</x:v>
      </x:c>
      <x:c r="V88" s="13" t="n"/>
      <x:c r="W88" s="15">
        <x:f>IFERROR(MAX(0,Q88-V88),0)</x:f>
        <x:v>0</x:v>
      </x:c>
      <x:c r="X88" s="11" t="str">
        <x:f>IF((Parameters!$B$3-SUM($M$2:M88))&lt;Parameters!$B$4,"Warning","OK")</x:f>
        <x:v>Warning</x:v>
      </x:c>
      <x:c r="Y88" s="13" t="n"/>
    </x:row>
    <x:row r="89">
      <x:c r="A89" s="11" t="str">
        <x:f>"RUN-"&amp;TEXT(88,"000")</x:f>
        <x:v>RUN-088</x:v>
      </x:c>
      <x:c r="B89" s="12" t="n"/>
      <x:c r="C89" s="11">
        <x:f>IF(B89&lt;&gt;"",MONTH(B89),"")</x:f>
      </x:c>
      <x:c r="D89" s="13" t="n"/>
      <x:c r="E89" s="13" t="n"/>
      <x:c r="F89" s="13" t="n"/>
      <x:c r="G89" s="13" t="n"/>
      <x:c r="H89" s="14" t="n"/>
      <x:c r="I89" s="14" t="n"/>
      <x:c r="J89" s="14" t="n"/>
      <x:c r="K89" s="14" t="n"/>
      <x:c r="L89" s="14" t="n"/>
      <x:c r="M89" s="15">
        <x:f>IFERROR(H89+K89+L89,0)</x:f>
        <x:v>0</x:v>
      </x:c>
      <x:c r="N89" s="16">
        <x:f>IFERROR(M89*Parameters!$B$2,0)</x:f>
        <x:v>0</x:v>
      </x:c>
      <x:c r="O89" s="16">
        <x:f>IFERROR(K89*Parameters!$B$2,0)</x:f>
        <x:v>0</x:v>
      </x:c>
      <x:c r="P89" s="16">
        <x:f>IFERROR(L89*Parameters!$B$2,0)</x:f>
        <x:v>0</x:v>
      </x:c>
      <x:c r="Q89" s="16">
        <x:f>IFERROR(H89*I89,0)</x:f>
        <x:v>0</x:v>
      </x:c>
      <x:c r="R89" s="16">
        <x:f>IFERROR(Q89-(H89*Parameters!$B$2),0)</x:f>
        <x:v>0</x:v>
      </x:c>
      <x:c r="S89" s="16">
        <x:f>IFERROR(R89-J89,0)</x:f>
        <x:v>0</x:v>
      </x:c>
      <x:c r="T89" s="16">
        <x:f>IFERROR(S89*Parameters!$B$5,0)</x:f>
        <x:v>0</x:v>
      </x:c>
      <x:c r="U89" s="16">
        <x:f>IFERROR(S89*Parameters!$B$6,0)</x:f>
        <x:v>0</x:v>
      </x:c>
      <x:c r="V89" s="13" t="n"/>
      <x:c r="W89" s="15">
        <x:f>IFERROR(MAX(0,Q89-V89),0)</x:f>
        <x:v>0</x:v>
      </x:c>
      <x:c r="X89" s="11" t="str">
        <x:f>IF((Parameters!$B$3-SUM($M$2:M89))&lt;Parameters!$B$4,"Warning","OK")</x:f>
        <x:v>Warning</x:v>
      </x:c>
      <x:c r="Y89" s="13" t="n"/>
    </x:row>
    <x:row r="90">
      <x:c r="A90" s="11" t="str">
        <x:f>"RUN-"&amp;TEXT(89,"000")</x:f>
        <x:v>RUN-089</x:v>
      </x:c>
      <x:c r="B90" s="12" t="n"/>
      <x:c r="C90" s="11">
        <x:f>IF(B90&lt;&gt;"",MONTH(B90),"")</x:f>
      </x:c>
      <x:c r="D90" s="13" t="n"/>
      <x:c r="E90" s="13" t="n"/>
      <x:c r="F90" s="13" t="n"/>
      <x:c r="G90" s="13" t="n"/>
      <x:c r="H90" s="14" t="n"/>
      <x:c r="I90" s="14" t="n"/>
      <x:c r="J90" s="14" t="n"/>
      <x:c r="K90" s="14" t="n"/>
      <x:c r="L90" s="14" t="n"/>
      <x:c r="M90" s="15">
        <x:f>IFERROR(H90+K90+L90,0)</x:f>
        <x:v>0</x:v>
      </x:c>
      <x:c r="N90" s="16">
        <x:f>IFERROR(M90*Parameters!$B$2,0)</x:f>
        <x:v>0</x:v>
      </x:c>
      <x:c r="O90" s="16">
        <x:f>IFERROR(K90*Parameters!$B$2,0)</x:f>
        <x:v>0</x:v>
      </x:c>
      <x:c r="P90" s="16">
        <x:f>IFERROR(L90*Parameters!$B$2,0)</x:f>
        <x:v>0</x:v>
      </x:c>
      <x:c r="Q90" s="16">
        <x:f>IFERROR(H90*I90,0)</x:f>
        <x:v>0</x:v>
      </x:c>
      <x:c r="R90" s="16">
        <x:f>IFERROR(Q90-(H90*Parameters!$B$2),0)</x:f>
        <x:v>0</x:v>
      </x:c>
      <x:c r="S90" s="16">
        <x:f>IFERROR(R90-J90,0)</x:f>
        <x:v>0</x:v>
      </x:c>
      <x:c r="T90" s="16">
        <x:f>IFERROR(S90*Parameters!$B$5,0)</x:f>
        <x:v>0</x:v>
      </x:c>
      <x:c r="U90" s="16">
        <x:f>IFERROR(S90*Parameters!$B$6,0)</x:f>
        <x:v>0</x:v>
      </x:c>
      <x:c r="V90" s="13" t="n"/>
      <x:c r="W90" s="15">
        <x:f>IFERROR(MAX(0,Q90-V90),0)</x:f>
        <x:v>0</x:v>
      </x:c>
      <x:c r="X90" s="11" t="str">
        <x:f>IF((Parameters!$B$3-SUM($M$2:M90))&lt;Parameters!$B$4,"Warning","OK")</x:f>
        <x:v>Warning</x:v>
      </x:c>
      <x:c r="Y90" s="13" t="n"/>
    </x:row>
    <x:row r="91">
      <x:c r="A91" s="11" t="str">
        <x:f>"RUN-"&amp;TEXT(90,"000")</x:f>
        <x:v>RUN-090</x:v>
      </x:c>
      <x:c r="B91" s="12" t="n"/>
      <x:c r="C91" s="11">
        <x:f>IF(B91&lt;&gt;"",MONTH(B91),"")</x:f>
      </x:c>
      <x:c r="D91" s="13" t="n"/>
      <x:c r="E91" s="13" t="n"/>
      <x:c r="F91" s="13" t="n"/>
      <x:c r="G91" s="13" t="n"/>
      <x:c r="H91" s="14" t="n"/>
      <x:c r="I91" s="14" t="n"/>
      <x:c r="J91" s="14" t="n"/>
      <x:c r="K91" s="14" t="n"/>
      <x:c r="L91" s="14" t="n"/>
      <x:c r="M91" s="15">
        <x:f>IFERROR(H91+K91+L91,0)</x:f>
        <x:v>0</x:v>
      </x:c>
      <x:c r="N91" s="16">
        <x:f>IFERROR(M91*Parameters!$B$2,0)</x:f>
        <x:v>0</x:v>
      </x:c>
      <x:c r="O91" s="16">
        <x:f>IFERROR(K91*Parameters!$B$2,0)</x:f>
        <x:v>0</x:v>
      </x:c>
      <x:c r="P91" s="16">
        <x:f>IFERROR(L91*Parameters!$B$2,0)</x:f>
        <x:v>0</x:v>
      </x:c>
      <x:c r="Q91" s="16">
        <x:f>IFERROR(H91*I91,0)</x:f>
        <x:v>0</x:v>
      </x:c>
      <x:c r="R91" s="16">
        <x:f>IFERROR(Q91-(H91*Parameters!$B$2),0)</x:f>
        <x:v>0</x:v>
      </x:c>
      <x:c r="S91" s="16">
        <x:f>IFERROR(R91-J91,0)</x:f>
        <x:v>0</x:v>
      </x:c>
      <x:c r="T91" s="16">
        <x:f>IFERROR(S91*Parameters!$B$5,0)</x:f>
        <x:v>0</x:v>
      </x:c>
      <x:c r="U91" s="16">
        <x:f>IFERROR(S91*Parameters!$B$6,0)</x:f>
        <x:v>0</x:v>
      </x:c>
      <x:c r="V91" s="13" t="n"/>
      <x:c r="W91" s="15">
        <x:f>IFERROR(MAX(0,Q91-V91),0)</x:f>
        <x:v>0</x:v>
      </x:c>
      <x:c r="X91" s="11" t="str">
        <x:f>IF((Parameters!$B$3-SUM($M$2:M91))&lt;Parameters!$B$4,"Warning","OK")</x:f>
        <x:v>Warning</x:v>
      </x:c>
      <x:c r="Y91" s="13" t="n"/>
    </x:row>
    <x:row r="92">
      <x:c r="A92" s="11" t="str">
        <x:f>"RUN-"&amp;TEXT(91,"000")</x:f>
        <x:v>RUN-091</x:v>
      </x:c>
      <x:c r="B92" s="12" t="n"/>
      <x:c r="C92" s="11">
        <x:f>IF(B92&lt;&gt;"",MONTH(B92),"")</x:f>
      </x:c>
      <x:c r="D92" s="13" t="n"/>
      <x:c r="E92" s="13" t="n"/>
      <x:c r="F92" s="13" t="n"/>
      <x:c r="G92" s="13" t="n"/>
      <x:c r="H92" s="14" t="n"/>
      <x:c r="I92" s="14" t="n"/>
      <x:c r="J92" s="14" t="n"/>
      <x:c r="K92" s="14" t="n"/>
      <x:c r="L92" s="14" t="n"/>
      <x:c r="M92" s="15">
        <x:f>IFERROR(H92+K92+L92,0)</x:f>
        <x:v>0</x:v>
      </x:c>
      <x:c r="N92" s="16">
        <x:f>IFERROR(M92*Parameters!$B$2,0)</x:f>
        <x:v>0</x:v>
      </x:c>
      <x:c r="O92" s="16">
        <x:f>IFERROR(K92*Parameters!$B$2,0)</x:f>
        <x:v>0</x:v>
      </x:c>
      <x:c r="P92" s="16">
        <x:f>IFERROR(L92*Parameters!$B$2,0)</x:f>
        <x:v>0</x:v>
      </x:c>
      <x:c r="Q92" s="16">
        <x:f>IFERROR(H92*I92,0)</x:f>
        <x:v>0</x:v>
      </x:c>
      <x:c r="R92" s="16">
        <x:f>IFERROR(Q92-(H92*Parameters!$B$2),0)</x:f>
        <x:v>0</x:v>
      </x:c>
      <x:c r="S92" s="16">
        <x:f>IFERROR(R92-J92,0)</x:f>
        <x:v>0</x:v>
      </x:c>
      <x:c r="T92" s="16">
        <x:f>IFERROR(S92*Parameters!$B$5,0)</x:f>
        <x:v>0</x:v>
      </x:c>
      <x:c r="U92" s="16">
        <x:f>IFERROR(S92*Parameters!$B$6,0)</x:f>
        <x:v>0</x:v>
      </x:c>
      <x:c r="V92" s="13" t="n"/>
      <x:c r="W92" s="15">
        <x:f>IFERROR(MAX(0,Q92-V92),0)</x:f>
        <x:v>0</x:v>
      </x:c>
      <x:c r="X92" s="11" t="str">
        <x:f>IF((Parameters!$B$3-SUM($M$2:M92))&lt;Parameters!$B$4,"Warning","OK")</x:f>
        <x:v>Warning</x:v>
      </x:c>
      <x:c r="Y92" s="13" t="n"/>
    </x:row>
    <x:row r="93">
      <x:c r="A93" s="11" t="str">
        <x:f>"RUN-"&amp;TEXT(92,"000")</x:f>
        <x:v>RUN-092</x:v>
      </x:c>
      <x:c r="B93" s="12" t="n"/>
      <x:c r="C93" s="11">
        <x:f>IF(B93&lt;&gt;"",MONTH(B93),"")</x:f>
      </x:c>
      <x:c r="D93" s="13" t="n"/>
      <x:c r="E93" s="13" t="n"/>
      <x:c r="F93" s="13" t="n"/>
      <x:c r="G93" s="13" t="n"/>
      <x:c r="H93" s="14" t="n"/>
      <x:c r="I93" s="14" t="n"/>
      <x:c r="J93" s="14" t="n"/>
      <x:c r="K93" s="14" t="n"/>
      <x:c r="L93" s="14" t="n"/>
      <x:c r="M93" s="15">
        <x:f>IFERROR(H93+K93+L93,0)</x:f>
        <x:v>0</x:v>
      </x:c>
      <x:c r="N93" s="16">
        <x:f>IFERROR(M93*Parameters!$B$2,0)</x:f>
        <x:v>0</x:v>
      </x:c>
      <x:c r="O93" s="16">
        <x:f>IFERROR(K93*Parameters!$B$2,0)</x:f>
        <x:v>0</x:v>
      </x:c>
      <x:c r="P93" s="16">
        <x:f>IFERROR(L93*Parameters!$B$2,0)</x:f>
        <x:v>0</x:v>
      </x:c>
      <x:c r="Q93" s="16">
        <x:f>IFERROR(H93*I93,0)</x:f>
        <x:v>0</x:v>
      </x:c>
      <x:c r="R93" s="16">
        <x:f>IFERROR(Q93-(H93*Parameters!$B$2),0)</x:f>
        <x:v>0</x:v>
      </x:c>
      <x:c r="S93" s="16">
        <x:f>IFERROR(R93-J93,0)</x:f>
        <x:v>0</x:v>
      </x:c>
      <x:c r="T93" s="16">
        <x:f>IFERROR(S93*Parameters!$B$5,0)</x:f>
        <x:v>0</x:v>
      </x:c>
      <x:c r="U93" s="16">
        <x:f>IFERROR(S93*Parameters!$B$6,0)</x:f>
        <x:v>0</x:v>
      </x:c>
      <x:c r="V93" s="13" t="n"/>
      <x:c r="W93" s="15">
        <x:f>IFERROR(MAX(0,Q93-V93),0)</x:f>
        <x:v>0</x:v>
      </x:c>
      <x:c r="X93" s="11" t="str">
        <x:f>IF((Parameters!$B$3-SUM($M$2:M93))&lt;Parameters!$B$4,"Warning","OK")</x:f>
        <x:v>Warning</x:v>
      </x:c>
      <x:c r="Y93" s="13" t="n"/>
    </x:row>
    <x:row r="94">
      <x:c r="A94" s="11" t="str">
        <x:f>"RUN-"&amp;TEXT(93,"000")</x:f>
        <x:v>RUN-093</x:v>
      </x:c>
      <x:c r="B94" s="12" t="n"/>
      <x:c r="C94" s="11">
        <x:f>IF(B94&lt;&gt;"",MONTH(B94),"")</x:f>
      </x:c>
      <x:c r="D94" s="13" t="n"/>
      <x:c r="E94" s="13" t="n"/>
      <x:c r="F94" s="13" t="n"/>
      <x:c r="G94" s="13" t="n"/>
      <x:c r="H94" s="14" t="n"/>
      <x:c r="I94" s="14" t="n"/>
      <x:c r="J94" s="14" t="n"/>
      <x:c r="K94" s="14" t="n"/>
      <x:c r="L94" s="14" t="n"/>
      <x:c r="M94" s="15">
        <x:f>IFERROR(H94+K94+L94,0)</x:f>
        <x:v>0</x:v>
      </x:c>
      <x:c r="N94" s="16">
        <x:f>IFERROR(M94*Parameters!$B$2,0)</x:f>
        <x:v>0</x:v>
      </x:c>
      <x:c r="O94" s="16">
        <x:f>IFERROR(K94*Parameters!$B$2,0)</x:f>
        <x:v>0</x:v>
      </x:c>
      <x:c r="P94" s="16">
        <x:f>IFERROR(L94*Parameters!$B$2,0)</x:f>
        <x:v>0</x:v>
      </x:c>
      <x:c r="Q94" s="16">
        <x:f>IFERROR(H94*I94,0)</x:f>
        <x:v>0</x:v>
      </x:c>
      <x:c r="R94" s="16">
        <x:f>IFERROR(Q94-(H94*Parameters!$B$2),0)</x:f>
        <x:v>0</x:v>
      </x:c>
      <x:c r="S94" s="16">
        <x:f>IFERROR(R94-J94,0)</x:f>
        <x:v>0</x:v>
      </x:c>
      <x:c r="T94" s="16">
        <x:f>IFERROR(S94*Parameters!$B$5,0)</x:f>
        <x:v>0</x:v>
      </x:c>
      <x:c r="U94" s="16">
        <x:f>IFERROR(S94*Parameters!$B$6,0)</x:f>
        <x:v>0</x:v>
      </x:c>
      <x:c r="V94" s="13" t="n"/>
      <x:c r="W94" s="15">
        <x:f>IFERROR(MAX(0,Q94-V94),0)</x:f>
        <x:v>0</x:v>
      </x:c>
      <x:c r="X94" s="11" t="str">
        <x:f>IF((Parameters!$B$3-SUM($M$2:M94))&lt;Parameters!$B$4,"Warning","OK")</x:f>
        <x:v>Warning</x:v>
      </x:c>
      <x:c r="Y94" s="13" t="n"/>
    </x:row>
    <x:row r="95">
      <x:c r="A95" s="11" t="str">
        <x:f>"RUN-"&amp;TEXT(94,"000")</x:f>
        <x:v>RUN-094</x:v>
      </x:c>
      <x:c r="B95" s="12" t="n"/>
      <x:c r="C95" s="11">
        <x:f>IF(B95&lt;&gt;"",MONTH(B95),"")</x:f>
      </x:c>
      <x:c r="D95" s="13" t="n"/>
      <x:c r="E95" s="13" t="n"/>
      <x:c r="F95" s="13" t="n"/>
      <x:c r="G95" s="13" t="n"/>
      <x:c r="H95" s="14" t="n"/>
      <x:c r="I95" s="14" t="n"/>
      <x:c r="J95" s="14" t="n"/>
      <x:c r="K95" s="14" t="n"/>
      <x:c r="L95" s="14" t="n"/>
      <x:c r="M95" s="15">
        <x:f>IFERROR(H95+K95+L95,0)</x:f>
        <x:v>0</x:v>
      </x:c>
      <x:c r="N95" s="16">
        <x:f>IFERROR(M95*Parameters!$B$2,0)</x:f>
        <x:v>0</x:v>
      </x:c>
      <x:c r="O95" s="16">
        <x:f>IFERROR(K95*Parameters!$B$2,0)</x:f>
        <x:v>0</x:v>
      </x:c>
      <x:c r="P95" s="16">
        <x:f>IFERROR(L95*Parameters!$B$2,0)</x:f>
        <x:v>0</x:v>
      </x:c>
      <x:c r="Q95" s="16">
        <x:f>IFERROR(H95*I95,0)</x:f>
        <x:v>0</x:v>
      </x:c>
      <x:c r="R95" s="16">
        <x:f>IFERROR(Q95-(H95*Parameters!$B$2),0)</x:f>
        <x:v>0</x:v>
      </x:c>
      <x:c r="S95" s="16">
        <x:f>IFERROR(R95-J95,0)</x:f>
        <x:v>0</x:v>
      </x:c>
      <x:c r="T95" s="16">
        <x:f>IFERROR(S95*Parameters!$B$5,0)</x:f>
        <x:v>0</x:v>
      </x:c>
      <x:c r="U95" s="16">
        <x:f>IFERROR(S95*Parameters!$B$6,0)</x:f>
        <x:v>0</x:v>
      </x:c>
      <x:c r="V95" s="13" t="n"/>
      <x:c r="W95" s="15">
        <x:f>IFERROR(MAX(0,Q95-V95),0)</x:f>
        <x:v>0</x:v>
      </x:c>
      <x:c r="X95" s="11" t="str">
        <x:f>IF((Parameters!$B$3-SUM($M$2:M95))&lt;Parameters!$B$4,"Warning","OK")</x:f>
        <x:v>Warning</x:v>
      </x:c>
      <x:c r="Y95" s="13" t="n"/>
    </x:row>
    <x:row r="96">
      <x:c r="A96" s="11" t="str">
        <x:f>"RUN-"&amp;TEXT(95,"000")</x:f>
        <x:v>RUN-095</x:v>
      </x:c>
      <x:c r="B96" s="12" t="n"/>
      <x:c r="C96" s="11">
        <x:f>IF(B96&lt;&gt;"",MONTH(B96),"")</x:f>
      </x:c>
      <x:c r="D96" s="13" t="n"/>
      <x:c r="E96" s="13" t="n"/>
      <x:c r="F96" s="13" t="n"/>
      <x:c r="G96" s="13" t="n"/>
      <x:c r="H96" s="14" t="n"/>
      <x:c r="I96" s="14" t="n"/>
      <x:c r="J96" s="14" t="n"/>
      <x:c r="K96" s="14" t="n"/>
      <x:c r="L96" s="14" t="n"/>
      <x:c r="M96" s="15">
        <x:f>IFERROR(H96+K96+L96,0)</x:f>
        <x:v>0</x:v>
      </x:c>
      <x:c r="N96" s="16">
        <x:f>IFERROR(M96*Parameters!$B$2,0)</x:f>
        <x:v>0</x:v>
      </x:c>
      <x:c r="O96" s="16">
        <x:f>IFERROR(K96*Parameters!$B$2,0)</x:f>
        <x:v>0</x:v>
      </x:c>
      <x:c r="P96" s="16">
        <x:f>IFERROR(L96*Parameters!$B$2,0)</x:f>
        <x:v>0</x:v>
      </x:c>
      <x:c r="Q96" s="16">
        <x:f>IFERROR(H96*I96,0)</x:f>
        <x:v>0</x:v>
      </x:c>
      <x:c r="R96" s="16">
        <x:f>IFERROR(Q96-(H96*Parameters!$B$2),0)</x:f>
        <x:v>0</x:v>
      </x:c>
      <x:c r="S96" s="16">
        <x:f>IFERROR(R96-J96,0)</x:f>
        <x:v>0</x:v>
      </x:c>
      <x:c r="T96" s="16">
        <x:f>IFERROR(S96*Parameters!$B$5,0)</x:f>
        <x:v>0</x:v>
      </x:c>
      <x:c r="U96" s="16">
        <x:f>IFERROR(S96*Parameters!$B$6,0)</x:f>
        <x:v>0</x:v>
      </x:c>
      <x:c r="V96" s="13" t="n"/>
      <x:c r="W96" s="15">
        <x:f>IFERROR(MAX(0,Q96-V96),0)</x:f>
        <x:v>0</x:v>
      </x:c>
      <x:c r="X96" s="11" t="str">
        <x:f>IF((Parameters!$B$3-SUM($M$2:M96))&lt;Parameters!$B$4,"Warning","OK")</x:f>
        <x:v>Warning</x:v>
      </x:c>
      <x:c r="Y96" s="13" t="n"/>
    </x:row>
    <x:row r="97">
      <x:c r="A97" s="11" t="str">
        <x:f>"RUN-"&amp;TEXT(96,"000")</x:f>
        <x:v>RUN-096</x:v>
      </x:c>
      <x:c r="B97" s="12" t="n"/>
      <x:c r="C97" s="11">
        <x:f>IF(B97&lt;&gt;"",MONTH(B97),"")</x:f>
      </x:c>
      <x:c r="D97" s="13" t="n"/>
      <x:c r="E97" s="13" t="n"/>
      <x:c r="F97" s="13" t="n"/>
      <x:c r="G97" s="13" t="n"/>
      <x:c r="H97" s="14" t="n"/>
      <x:c r="I97" s="14" t="n"/>
      <x:c r="J97" s="14" t="n"/>
      <x:c r="K97" s="14" t="n"/>
      <x:c r="L97" s="14" t="n"/>
      <x:c r="M97" s="15">
        <x:f>IFERROR(H97+K97+L97,0)</x:f>
        <x:v>0</x:v>
      </x:c>
      <x:c r="N97" s="16">
        <x:f>IFERROR(M97*Parameters!$B$2,0)</x:f>
        <x:v>0</x:v>
      </x:c>
      <x:c r="O97" s="16">
        <x:f>IFERROR(K97*Parameters!$B$2,0)</x:f>
        <x:v>0</x:v>
      </x:c>
      <x:c r="P97" s="16">
        <x:f>IFERROR(L97*Parameters!$B$2,0)</x:f>
        <x:v>0</x:v>
      </x:c>
      <x:c r="Q97" s="16">
        <x:f>IFERROR(H97*I97,0)</x:f>
        <x:v>0</x:v>
      </x:c>
      <x:c r="R97" s="16">
        <x:f>IFERROR(Q97-(H97*Parameters!$B$2),0)</x:f>
        <x:v>0</x:v>
      </x:c>
      <x:c r="S97" s="16">
        <x:f>IFERROR(R97-J97,0)</x:f>
        <x:v>0</x:v>
      </x:c>
      <x:c r="T97" s="16">
        <x:f>IFERROR(S97*Parameters!$B$5,0)</x:f>
        <x:v>0</x:v>
      </x:c>
      <x:c r="U97" s="16">
        <x:f>IFERROR(S97*Parameters!$B$6,0)</x:f>
        <x:v>0</x:v>
      </x:c>
      <x:c r="V97" s="13" t="n"/>
      <x:c r="W97" s="15">
        <x:f>IFERROR(MAX(0,Q97-V97),0)</x:f>
        <x:v>0</x:v>
      </x:c>
      <x:c r="X97" s="11" t="str">
        <x:f>IF((Parameters!$B$3-SUM($M$2:M97))&lt;Parameters!$B$4,"Warning","OK")</x:f>
        <x:v>Warning</x:v>
      </x:c>
      <x:c r="Y97" s="13" t="n"/>
    </x:row>
    <x:row r="98">
      <x:c r="A98" s="11" t="str">
        <x:f>"RUN-"&amp;TEXT(97,"000")</x:f>
        <x:v>RUN-097</x:v>
      </x:c>
      <x:c r="B98" s="12" t="n"/>
      <x:c r="C98" s="11">
        <x:f>IF(B98&lt;&gt;"",MONTH(B98),"")</x:f>
      </x:c>
      <x:c r="D98" s="13" t="n"/>
      <x:c r="E98" s="13" t="n"/>
      <x:c r="F98" s="13" t="n"/>
      <x:c r="G98" s="13" t="n"/>
      <x:c r="H98" s="14" t="n"/>
      <x:c r="I98" s="14" t="n"/>
      <x:c r="J98" s="14" t="n"/>
      <x:c r="K98" s="14" t="n"/>
      <x:c r="L98" s="14" t="n"/>
      <x:c r="M98" s="15">
        <x:f>IFERROR(H98+K98+L98,0)</x:f>
        <x:v>0</x:v>
      </x:c>
      <x:c r="N98" s="16">
        <x:f>IFERROR(M98*Parameters!$B$2,0)</x:f>
        <x:v>0</x:v>
      </x:c>
      <x:c r="O98" s="16">
        <x:f>IFERROR(K98*Parameters!$B$2,0)</x:f>
        <x:v>0</x:v>
      </x:c>
      <x:c r="P98" s="16">
        <x:f>IFERROR(L98*Parameters!$B$2,0)</x:f>
        <x:v>0</x:v>
      </x:c>
      <x:c r="Q98" s="16">
        <x:f>IFERROR(H98*I98,0)</x:f>
        <x:v>0</x:v>
      </x:c>
      <x:c r="R98" s="16">
        <x:f>IFERROR(Q98-(H98*Parameters!$B$2),0)</x:f>
        <x:v>0</x:v>
      </x:c>
      <x:c r="S98" s="16">
        <x:f>IFERROR(R98-J98,0)</x:f>
        <x:v>0</x:v>
      </x:c>
      <x:c r="T98" s="16">
        <x:f>IFERROR(S98*Parameters!$B$5,0)</x:f>
        <x:v>0</x:v>
      </x:c>
      <x:c r="U98" s="16">
        <x:f>IFERROR(S98*Parameters!$B$6,0)</x:f>
        <x:v>0</x:v>
      </x:c>
      <x:c r="V98" s="13" t="n"/>
      <x:c r="W98" s="15">
        <x:f>IFERROR(MAX(0,Q98-V98),0)</x:f>
        <x:v>0</x:v>
      </x:c>
      <x:c r="X98" s="11" t="str">
        <x:f>IF((Parameters!$B$3-SUM($M$2:M98))&lt;Parameters!$B$4,"Warning","OK")</x:f>
        <x:v>Warning</x:v>
      </x:c>
      <x:c r="Y98" s="13" t="n"/>
    </x:row>
    <x:row r="99">
      <x:c r="A99" s="11" t="str">
        <x:f>"RUN-"&amp;TEXT(98,"000")</x:f>
        <x:v>RUN-098</x:v>
      </x:c>
      <x:c r="B99" s="12" t="n"/>
      <x:c r="C99" s="11">
        <x:f>IF(B99&lt;&gt;"",MONTH(B99),"")</x:f>
      </x:c>
      <x:c r="D99" s="13" t="n"/>
      <x:c r="E99" s="13" t="n"/>
      <x:c r="F99" s="13" t="n"/>
      <x:c r="G99" s="13" t="n"/>
      <x:c r="H99" s="14" t="n"/>
      <x:c r="I99" s="14" t="n"/>
      <x:c r="J99" s="14" t="n"/>
      <x:c r="K99" s="14" t="n"/>
      <x:c r="L99" s="14" t="n"/>
      <x:c r="M99" s="15">
        <x:f>IFERROR(H99+K99+L99,0)</x:f>
        <x:v>0</x:v>
      </x:c>
      <x:c r="N99" s="16">
        <x:f>IFERROR(M99*Parameters!$B$2,0)</x:f>
        <x:v>0</x:v>
      </x:c>
      <x:c r="O99" s="16">
        <x:f>IFERROR(K99*Parameters!$B$2,0)</x:f>
        <x:v>0</x:v>
      </x:c>
      <x:c r="P99" s="16">
        <x:f>IFERROR(L99*Parameters!$B$2,0)</x:f>
        <x:v>0</x:v>
      </x:c>
      <x:c r="Q99" s="16">
        <x:f>IFERROR(H99*I99,0)</x:f>
        <x:v>0</x:v>
      </x:c>
      <x:c r="R99" s="16">
        <x:f>IFERROR(Q99-(H99*Parameters!$B$2),0)</x:f>
        <x:v>0</x:v>
      </x:c>
      <x:c r="S99" s="16">
        <x:f>IFERROR(R99-J99,0)</x:f>
        <x:v>0</x:v>
      </x:c>
      <x:c r="T99" s="16">
        <x:f>IFERROR(S99*Parameters!$B$5,0)</x:f>
        <x:v>0</x:v>
      </x:c>
      <x:c r="U99" s="16">
        <x:f>IFERROR(S99*Parameters!$B$6,0)</x:f>
        <x:v>0</x:v>
      </x:c>
      <x:c r="V99" s="13" t="n"/>
      <x:c r="W99" s="15">
        <x:f>IFERROR(MAX(0,Q99-V99),0)</x:f>
        <x:v>0</x:v>
      </x:c>
      <x:c r="X99" s="11" t="str">
        <x:f>IF((Parameters!$B$3-SUM($M$2:M99))&lt;Parameters!$B$4,"Warning","OK")</x:f>
        <x:v>Warning</x:v>
      </x:c>
      <x:c r="Y99" s="13" t="n"/>
    </x:row>
    <x:row r="100">
      <x:c r="A100" s="11" t="str">
        <x:f>"RUN-"&amp;TEXT(99,"000")</x:f>
        <x:v>RUN-099</x:v>
      </x:c>
      <x:c r="B100" s="12" t="n"/>
      <x:c r="C100" s="11">
        <x:f>IF(B100&lt;&gt;"",MONTH(B100),"")</x:f>
      </x:c>
      <x:c r="D100" s="13" t="n"/>
      <x:c r="E100" s="13" t="n"/>
      <x:c r="F100" s="13" t="n"/>
      <x:c r="G100" s="13" t="n"/>
      <x:c r="H100" s="14" t="n"/>
      <x:c r="I100" s="14" t="n"/>
      <x:c r="J100" s="14" t="n"/>
      <x:c r="K100" s="14" t="n"/>
      <x:c r="L100" s="14" t="n"/>
      <x:c r="M100" s="15">
        <x:f>IFERROR(H100+K100+L100,0)</x:f>
        <x:v>0</x:v>
      </x:c>
      <x:c r="N100" s="16">
        <x:f>IFERROR(M100*Parameters!$B$2,0)</x:f>
        <x:v>0</x:v>
      </x:c>
      <x:c r="O100" s="16">
        <x:f>IFERROR(K100*Parameters!$B$2,0)</x:f>
        <x:v>0</x:v>
      </x:c>
      <x:c r="P100" s="16">
        <x:f>IFERROR(L100*Parameters!$B$2,0)</x:f>
        <x:v>0</x:v>
      </x:c>
      <x:c r="Q100" s="16">
        <x:f>IFERROR(H100*I100,0)</x:f>
        <x:v>0</x:v>
      </x:c>
      <x:c r="R100" s="16">
        <x:f>IFERROR(Q100-(H100*Parameters!$B$2),0)</x:f>
        <x:v>0</x:v>
      </x:c>
      <x:c r="S100" s="16">
        <x:f>IFERROR(R100-J100,0)</x:f>
        <x:v>0</x:v>
      </x:c>
      <x:c r="T100" s="16">
        <x:f>IFERROR(S100*Parameters!$B$5,0)</x:f>
        <x:v>0</x:v>
      </x:c>
      <x:c r="U100" s="16">
        <x:f>IFERROR(S100*Parameters!$B$6,0)</x:f>
        <x:v>0</x:v>
      </x:c>
      <x:c r="V100" s="13" t="n"/>
      <x:c r="W100" s="15">
        <x:f>IFERROR(MAX(0,Q100-V100),0)</x:f>
        <x:v>0</x:v>
      </x:c>
      <x:c r="X100" s="11" t="str">
        <x:f>IF((Parameters!$B$3-SUM($M$2:M100))&lt;Parameters!$B$4,"Warning","OK")</x:f>
        <x:v>Warning</x:v>
      </x:c>
      <x:c r="Y100" s="13" t="n"/>
    </x:row>
    <x:row r="101">
      <x:c r="A101" s="11" t="str">
        <x:f>"RUN-"&amp;TEXT(100,"000")</x:f>
        <x:v>RUN-100</x:v>
      </x:c>
      <x:c r="B101" s="12" t="n"/>
      <x:c r="C101" s="11">
        <x:f>IF(B101&lt;&gt;"",MONTH(B101),"")</x:f>
      </x:c>
      <x:c r="D101" s="13" t="n"/>
      <x:c r="E101" s="13" t="n"/>
      <x:c r="F101" s="13" t="n"/>
      <x:c r="G101" s="13" t="n"/>
      <x:c r="H101" s="14" t="n"/>
      <x:c r="I101" s="14" t="n"/>
      <x:c r="J101" s="14" t="n"/>
      <x:c r="K101" s="14" t="n"/>
      <x:c r="L101" s="14" t="n"/>
      <x:c r="M101" s="15">
        <x:f>IFERROR(H101+K101+L101,0)</x:f>
        <x:v>0</x:v>
      </x:c>
      <x:c r="N101" s="16">
        <x:f>IFERROR(M101*Parameters!$B$2,0)</x:f>
        <x:v>0</x:v>
      </x:c>
      <x:c r="O101" s="16">
        <x:f>IFERROR(K101*Parameters!$B$2,0)</x:f>
        <x:v>0</x:v>
      </x:c>
      <x:c r="P101" s="16">
        <x:f>IFERROR(L101*Parameters!$B$2,0)</x:f>
        <x:v>0</x:v>
      </x:c>
      <x:c r="Q101" s="16">
        <x:f>IFERROR(H101*I101,0)</x:f>
        <x:v>0</x:v>
      </x:c>
      <x:c r="R101" s="16">
        <x:f>IFERROR(Q101-(H101*Parameters!$B$2),0)</x:f>
        <x:v>0</x:v>
      </x:c>
      <x:c r="S101" s="16">
        <x:f>IFERROR(R101-J101,0)</x:f>
        <x:v>0</x:v>
      </x:c>
      <x:c r="T101" s="16">
        <x:f>IFERROR(S101*Parameters!$B$5,0)</x:f>
        <x:v>0</x:v>
      </x:c>
      <x:c r="U101" s="16">
        <x:f>IFERROR(S101*Parameters!$B$6,0)</x:f>
        <x:v>0</x:v>
      </x:c>
      <x:c r="V101" s="13" t="n"/>
      <x:c r="W101" s="15">
        <x:f>IFERROR(MAX(0,Q101-V101),0)</x:f>
        <x:v>0</x:v>
      </x:c>
      <x:c r="X101" s="11" t="str">
        <x:f>IF((Parameters!$B$3-SUM($M$2:M101))&lt;Parameters!$B$4,"Warning","OK")</x:f>
        <x:v>Warning</x:v>
      </x:c>
      <x:c r="Y101" s="13" t="n"/>
    </x:row>
  </x:sheetData>
  <x:dataValidations count="3">
    <x:dataValidation type="list" allowBlank="1" showDropDown="0" showInputMessage="0" showErrorMessage="0"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x:formula1>=_Lists!$A$1:$A$3</x:formula1>
    </x:dataValidation>
    <x:dataValidation type="list" allowBlank="1" showDropDown="0" showInputMessage="0" showErrorMessage="0" sqref="F2 F3 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x:formula1>=_Lists!$B$1:$B$3</x:formula1>
    </x:dataValidation>
    <x:dataValidation type="list" allowBlank="1" showDropDown="0" showInputMessage="0" showErrorMessage="0" sqref="G2 G3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x:formula1>=_Lists!$C$1:$C$4</x:formula1>
    </x:dataValidation>
  </x:dataValidations>
  <x:pageMargins left="0.7" right="0.7" top="0.75" bottom="0.75" header="0.3" footer="0.3"/>
  <x:legacyDrawing xmlns:r="http://schemas.openxmlformats.org/officeDocument/2006/relationships" r:id="R03b16b2c4d1c40bc"/>
</x:worksheet>
</file>

<file path=xl/worksheets/sheet5.xml><?xml version="1.0" encoding="utf-8"?>
<x:worksheet xmlns:x="http://schemas.openxmlformats.org/spreadsheetml/2006/main">
  <x:sheetFormatPr baseColWidth="8" defaultRowHeight="15"/>
  <x:cols>
    <x:col min="1" max="1" width="12" customWidth="1"/>
    <x:col min="2" max="2" width="18" customWidth="1"/>
    <x:col min="3" max="3" width="16" customWidth="1"/>
    <x:col min="4" max="4" width="16" customWidth="1"/>
    <x:col min="5" max="5" width="28" customWidth="1"/>
  </x:cols>
  <x:sheetData>
    <x:row r="1">
      <x:c r="A1" s="17" t="inlineStr">
        <x:is>
          <x:t xml:space="preserve">Date</x:t>
        </x:is>
      </x:c>
      <x:c r="B1" s="17" t="inlineStr">
        <x:is>
          <x:t xml:space="preserve">Investor Name</x:t>
        </x:is>
      </x:c>
      <x:c r="C1" s="17" t="inlineStr">
        <x:is>
          <x:t xml:space="preserve">Investment (CHF)</x:t>
        </x:is>
      </x:c>
      <x:c r="D1" s="17" t="inlineStr">
        <x:is>
          <x:t xml:space="preserve">Repayment (CHF)</x:t>
        </x:is>
      </x:c>
      <x:c r="E1" s="17" t="inlineStr">
        <x:is>
          <x:t xml:space="preserve">Note</x:t>
        </x:is>
      </x:c>
    </x:row>
    <x:row r="2">
      <x:c r="A2" s="19" t="n">
        <x:v>46087</x:v>
      </x:c>
      <x:c r="B2" s="13" t="inlineStr">
        <x:is>
          <x:t xml:space="preserve">Morris</x:t>
        </x:is>
      </x:c>
      <x:c r="C2" s="13" t="n">
        <x:v>500</x:v>
      </x:c>
      <x:c r="D2" s="13" t="n"/>
      <x:c r="E2" s="13" t="inlineStr">
        <x:is>
          <x:t xml:space="preserve">Initial own investment</x:t>
        </x:is>
      </x:c>
    </x:row>
    <x:row r="3">
      <x:c r="A3" s="19" t="n">
        <x:v>46087</x:v>
      </x:c>
      <x:c r="B3" s="13" t="inlineStr">
        <x:is>
          <x:t xml:space="preserve">Third Party Investor</x:t>
        </x:is>
      </x:c>
      <x:c r="C3" s="13" t="n">
        <x:v>3000</x:v>
      </x:c>
      <x:c r="D3" s="13" t="n"/>
      <x:c r="E3" s="13" t="inlineStr">
        <x:is>
          <x:t xml:space="preserve">Initial external investment</x:t>
        </x:is>
      </x:c>
    </x:row>
    <x:row r="4">
      <x:c r="A4" s="19" t="n">
        <x:v>46087</x:v>
      </x:c>
      <x:c r="B4" s="13" t="inlineStr">
        <x:is>
          <x:t xml:space="preserve">Morris</x:t>
        </x:is>
      </x:c>
      <x:c r="C4" s="13" t="n"/>
      <x:c r="D4" s="13" t="n">
        <x:v>500</x:v>
      </x:c>
      <x:c r="E4" s="13" t="inlineStr">
        <x:is>
          <x:t xml:space="preserve">Repaid from actual cash received</x:t>
        </x:is>
      </x:c>
    </x:row>
    <x:row r="5">
      <x:c r="A5" s="19" t="n">
        <x:v>46087</x:v>
      </x:c>
      <x:c r="B5" s="13" t="inlineStr">
        <x:is>
          <x:t xml:space="preserve">Third Party Investor</x:t>
        </x:is>
      </x:c>
      <x:c r="C5" s="13" t="n"/>
      <x:c r="D5" s="13" t="n">
        <x:v>500</x:v>
      </x:c>
      <x:c r="E5" s="13" t="inlineStr">
        <x:is>
          <x:t xml:space="preserve">Repaid from actual cash received (1000 received so far)</x:t>
        </x:is>
      </x:c>
    </x:row>
    <x:row r="6">
      <x:c r="A6" s="13" t="n"/>
      <x:c r="B6" s="13" t="n"/>
      <x:c r="C6" s="13" t="n"/>
      <x:c r="D6" s="13" t="n"/>
      <x:c r="E6" s="13" t="n"/>
    </x:row>
    <x:row r="7">
      <x:c r="A7" s="13" t="n"/>
      <x:c r="B7" s="13" t="n"/>
      <x:c r="C7" s="13" t="n"/>
      <x:c r="D7" s="13" t="n"/>
      <x:c r="E7" s="13" t="n"/>
    </x:row>
    <x:row r="8">
      <x:c r="A8" s="13" t="n"/>
      <x:c r="B8" s="13" t="n"/>
      <x:c r="C8" s="13" t="n"/>
      <x:c r="D8" s="13" t="n"/>
      <x:c r="E8" s="13" t="n"/>
    </x:row>
    <x:row r="9">
      <x:c r="A9" s="13" t="n"/>
      <x:c r="B9" s="13" t="n"/>
      <x:c r="C9" s="13" t="n"/>
      <x:c r="D9" s="13" t="n"/>
      <x:c r="E9" s="13" t="n"/>
    </x:row>
    <x:row r="10">
      <x:c r="A10" s="13" t="n"/>
      <x:c r="B10" s="13" t="n"/>
      <x:c r="C10" s="13" t="n"/>
      <x:c r="D10" s="13" t="n"/>
      <x:c r="E10" s="13" t="n"/>
    </x:row>
    <x:row r="11">
      <x:c r="A11" s="13" t="n"/>
      <x:c r="B11" s="13" t="n"/>
      <x:c r="C11" s="13" t="n"/>
      <x:c r="D11" s="13" t="n"/>
      <x:c r="E11" s="13" t="n"/>
    </x:row>
    <x:row r="12">
      <x:c r="A12" s="13" t="n"/>
      <x:c r="B12" s="13" t="n"/>
      <x:c r="C12" s="13" t="n"/>
      <x:c r="D12" s="13" t="n"/>
      <x:c r="E12" s="13" t="n"/>
    </x:row>
    <x:row r="13">
      <x:c r="A13" s="13" t="n"/>
      <x:c r="B13" s="13" t="n"/>
      <x:c r="C13" s="13" t="n"/>
      <x:c r="D13" s="13" t="n"/>
      <x:c r="E13" s="13" t="n"/>
    </x:row>
    <x:row r="14">
      <x:c r="A14" s="13" t="n"/>
      <x:c r="B14" s="13" t="n"/>
      <x:c r="C14" s="13" t="n"/>
      <x:c r="D14" s="13" t="n"/>
      <x:c r="E14" s="13" t="n"/>
    </x:row>
    <x:row r="15">
      <x:c r="A15" s="13" t="n"/>
      <x:c r="B15" s="13" t="n"/>
      <x:c r="C15" s="13" t="n"/>
      <x:c r="D15" s="13" t="n"/>
      <x:c r="E15" s="13" t="n"/>
    </x:row>
    <x:row r="16">
      <x:c r="A16" s="13" t="n"/>
      <x:c r="B16" s="13" t="n"/>
      <x:c r="C16" s="13" t="n"/>
      <x:c r="D16" s="13" t="n"/>
      <x:c r="E16" s="13" t="n"/>
    </x:row>
    <x:row r="17">
      <x:c r="A17" s="13" t="n"/>
      <x:c r="B17" s="13" t="n"/>
      <x:c r="C17" s="13" t="n"/>
      <x:c r="D17" s="13" t="n"/>
      <x:c r="E17" s="13" t="n"/>
    </x:row>
    <x:row r="18">
      <x:c r="A18" s="13" t="n"/>
      <x:c r="B18" s="13" t="n"/>
      <x:c r="C18" s="13" t="n"/>
      <x:c r="D18" s="13" t="n"/>
      <x:c r="E18" s="13" t="n"/>
    </x:row>
    <x:row r="19">
      <x:c r="A19" s="13" t="n"/>
      <x:c r="B19" s="13" t="n"/>
      <x:c r="C19" s="13" t="n"/>
      <x:c r="D19" s="13" t="n"/>
      <x:c r="E19" s="13" t="n"/>
    </x:row>
    <x:row r="20">
      <x:c r="A20" s="13" t="n"/>
      <x:c r="B20" s="13" t="n"/>
      <x:c r="C20" s="13" t="n"/>
      <x:c r="D20" s="13" t="n"/>
      <x:c r="E20" s="13" t="n"/>
    </x:row>
    <x:row r="21">
      <x:c r="A21" s="13" t="n"/>
      <x:c r="B21" s="13" t="n"/>
      <x:c r="C21" s="13" t="n"/>
      <x:c r="D21" s="13" t="n"/>
      <x:c r="E21" s="13" t="n"/>
    </x:row>
    <x:row r="22">
      <x:c r="A22" s="13" t="n"/>
      <x:c r="B22" s="13" t="n"/>
      <x:c r="C22" s="13" t="n"/>
      <x:c r="D22" s="13" t="n"/>
      <x:c r="E22" s="13" t="n"/>
    </x:row>
    <x:row r="23">
      <x:c r="A23" s="13" t="n"/>
      <x:c r="B23" s="13" t="n"/>
      <x:c r="C23" s="13" t="n"/>
      <x:c r="D23" s="13" t="n"/>
      <x:c r="E23" s="13" t="n"/>
    </x:row>
    <x:row r="24">
      <x:c r="A24" s="13" t="n"/>
      <x:c r="B24" s="13" t="n"/>
      <x:c r="C24" s="13" t="n"/>
      <x:c r="D24" s="13" t="n"/>
      <x:c r="E24" s="13" t="n"/>
    </x:row>
    <x:row r="25">
      <x:c r="A25" s="13" t="n"/>
      <x:c r="B25" s="13" t="n"/>
      <x:c r="C25" s="13" t="n"/>
      <x:c r="D25" s="13" t="n"/>
      <x:c r="E25" s="13" t="n"/>
    </x:row>
    <x:row r="26">
      <x:c r="A26" s="13" t="n"/>
      <x:c r="B26" s="13" t="n"/>
      <x:c r="C26" s="13" t="n"/>
      <x:c r="D26" s="13" t="n"/>
      <x:c r="E26" s="13" t="n"/>
    </x:row>
    <x:row r="27">
      <x:c r="A27" s="13" t="n"/>
      <x:c r="B27" s="13" t="n"/>
      <x:c r="C27" s="13" t="n"/>
      <x:c r="D27" s="13" t="n"/>
      <x:c r="E27" s="13" t="n"/>
    </x:row>
    <x:row r="28">
      <x:c r="A28" s="13" t="n"/>
      <x:c r="B28" s="13" t="n"/>
      <x:c r="C28" s="13" t="n"/>
      <x:c r="D28" s="13" t="n"/>
      <x:c r="E28" s="13" t="n"/>
    </x:row>
    <x:row r="29">
      <x:c r="A29" s="13" t="n"/>
      <x:c r="B29" s="13" t="n"/>
      <x:c r="C29" s="13" t="n"/>
      <x:c r="D29" s="13" t="n"/>
      <x:c r="E29" s="13" t="n"/>
    </x:row>
    <x:row r="30">
      <x:c r="A30" s="13" t="n"/>
      <x:c r="B30" s="13" t="n"/>
      <x:c r="C30" s="13" t="n"/>
      <x:c r="D30" s="13" t="n"/>
      <x:c r="E30" s="13" t="n"/>
    </x:row>
    <x:row r="31">
      <x:c r="A31" s="13" t="n"/>
      <x:c r="B31" s="13" t="n"/>
      <x:c r="C31" s="13" t="n"/>
      <x:c r="D31" s="13" t="n"/>
      <x:c r="E31" s="13" t="n"/>
    </x:row>
    <x:row r="32">
      <x:c r="A32" s="13" t="n"/>
      <x:c r="B32" s="13" t="n"/>
      <x:c r="C32" s="13" t="n"/>
      <x:c r="D32" s="13" t="n"/>
      <x:c r="E32" s="13" t="n"/>
    </x:row>
    <x:row r="33">
      <x:c r="A33" s="13" t="n"/>
      <x:c r="B33" s="13" t="n"/>
      <x:c r="C33" s="13" t="n"/>
      <x:c r="D33" s="13" t="n"/>
      <x:c r="E33" s="13" t="n"/>
    </x:row>
    <x:row r="34">
      <x:c r="A34" s="13" t="n"/>
      <x:c r="B34" s="13" t="n"/>
      <x:c r="C34" s="13" t="n"/>
      <x:c r="D34" s="13" t="n"/>
      <x:c r="E34" s="13" t="n"/>
    </x:row>
    <x:row r="35">
      <x:c r="A35" s="13" t="n"/>
      <x:c r="B35" s="13" t="n"/>
      <x:c r="C35" s="13" t="n"/>
      <x:c r="D35" s="13" t="n"/>
      <x:c r="E35" s="13" t="n"/>
    </x:row>
    <x:row r="36">
      <x:c r="A36" s="13" t="n"/>
      <x:c r="B36" s="13" t="n"/>
      <x:c r="C36" s="13" t="n"/>
      <x:c r="D36" s="13" t="n"/>
      <x:c r="E36" s="13" t="n"/>
    </x:row>
    <x:row r="37">
      <x:c r="A37" s="13" t="n"/>
      <x:c r="B37" s="13" t="n"/>
      <x:c r="C37" s="13" t="n"/>
      <x:c r="D37" s="13" t="n"/>
      <x:c r="E37" s="13" t="n"/>
    </x:row>
    <x:row r="38">
      <x:c r="A38" s="13" t="n"/>
      <x:c r="B38" s="13" t="n"/>
      <x:c r="C38" s="13" t="n"/>
      <x:c r="D38" s="13" t="n"/>
      <x:c r="E38" s="13" t="n"/>
    </x:row>
    <x:row r="39">
      <x:c r="A39" s="13" t="n"/>
      <x:c r="B39" s="13" t="n"/>
      <x:c r="C39" s="13" t="n"/>
      <x:c r="D39" s="13" t="n"/>
      <x:c r="E39" s="13" t="n"/>
    </x:row>
    <x:row r="40">
      <x:c r="A40" s="13" t="n"/>
      <x:c r="B40" s="13" t="n"/>
      <x:c r="C40" s="13" t="n"/>
      <x:c r="D40" s="13" t="n"/>
      <x:c r="E40" s="13" t="n"/>
    </x:row>
    <x:row r="41">
      <x:c r="A41" s="13" t="n"/>
      <x:c r="B41" s="13" t="n"/>
      <x:c r="C41" s="13" t="n"/>
      <x:c r="D41" s="13" t="n"/>
      <x:c r="E41" s="13" t="n"/>
    </x:row>
    <x:row r="42">
      <x:c r="A42" s="13" t="n"/>
      <x:c r="B42" s="13" t="n"/>
      <x:c r="C42" s="13" t="n"/>
      <x:c r="D42" s="13" t="n"/>
      <x:c r="E42" s="13" t="n"/>
    </x:row>
    <x:row r="43">
      <x:c r="A43" s="13" t="n"/>
      <x:c r="B43" s="13" t="n"/>
      <x:c r="C43" s="13" t="n"/>
      <x:c r="D43" s="13" t="n"/>
      <x:c r="E43" s="13" t="n"/>
    </x:row>
    <x:row r="44">
      <x:c r="A44" s="13" t="n"/>
      <x:c r="B44" s="13" t="n"/>
      <x:c r="C44" s="13" t="n"/>
      <x:c r="D44" s="13" t="n"/>
      <x:c r="E44" s="13" t="n"/>
    </x:row>
    <x:row r="45">
      <x:c r="A45" s="13" t="n"/>
      <x:c r="B45" s="13" t="n"/>
      <x:c r="C45" s="13" t="n"/>
      <x:c r="D45" s="13" t="n"/>
      <x:c r="E45" s="13" t="n"/>
    </x:row>
    <x:row r="46">
      <x:c r="A46" s="13" t="n"/>
      <x:c r="B46" s="13" t="n"/>
      <x:c r="C46" s="13" t="n"/>
      <x:c r="D46" s="13" t="n"/>
      <x:c r="E46" s="13" t="n"/>
    </x:row>
    <x:row r="47">
      <x:c r="A47" s="13" t="n"/>
      <x:c r="B47" s="13" t="n"/>
      <x:c r="C47" s="13" t="n"/>
      <x:c r="D47" s="13" t="n"/>
      <x:c r="E47" s="13" t="n"/>
    </x:row>
    <x:row r="48">
      <x:c r="A48" s="13" t="n"/>
      <x:c r="B48" s="13" t="n"/>
      <x:c r="C48" s="13" t="n"/>
      <x:c r="D48" s="13" t="n"/>
      <x:c r="E48" s="13" t="n"/>
    </x:row>
    <x:row r="49">
      <x:c r="A49" s="13" t="n"/>
      <x:c r="B49" s="13" t="n"/>
      <x:c r="C49" s="13" t="n"/>
      <x:c r="D49" s="13" t="n"/>
      <x:c r="E49" s="13" t="n"/>
    </x:row>
    <x:row r="50">
      <x:c r="A50" s="13" t="n"/>
      <x:c r="B50" s="13" t="n"/>
      <x:c r="C50" s="13" t="n"/>
      <x:c r="D50" s="13" t="n"/>
      <x:c r="E50" s="13" t="n"/>
    </x:row>
    <x:row r="51">
      <x:c r="A51" s="13" t="n"/>
      <x:c r="B51" s="13" t="n"/>
      <x:c r="C51" s="13" t="n"/>
      <x:c r="D51" s="13" t="n"/>
      <x:c r="E51" s="13" t="n"/>
    </x:row>
    <x:row r="52">
      <x:c r="A52" s="13" t="n"/>
      <x:c r="B52" s="13" t="n"/>
      <x:c r="C52" s="13" t="n"/>
      <x:c r="D52" s="13" t="n"/>
      <x:c r="E52" s="13" t="n"/>
    </x:row>
    <x:row r="53">
      <x:c r="A53" s="13" t="n"/>
      <x:c r="B53" s="13" t="n"/>
      <x:c r="C53" s="13" t="n"/>
      <x:c r="D53" s="13" t="n"/>
      <x:c r="E53" s="13" t="n"/>
    </x:row>
    <x:row r="54">
      <x:c r="A54" s="13" t="n"/>
      <x:c r="B54" s="13" t="n"/>
      <x:c r="C54" s="13" t="n"/>
      <x:c r="D54" s="13" t="n"/>
      <x:c r="E54" s="13" t="n"/>
    </x:row>
    <x:row r="55">
      <x:c r="A55" s="13" t="n"/>
      <x:c r="B55" s="13" t="n"/>
      <x:c r="C55" s="13" t="n"/>
      <x:c r="D55" s="13" t="n"/>
      <x:c r="E55" s="13" t="n"/>
    </x:row>
    <x:row r="56">
      <x:c r="A56" s="13" t="n"/>
      <x:c r="B56" s="13" t="n"/>
      <x:c r="C56" s="13" t="n"/>
      <x:c r="D56" s="13" t="n"/>
      <x:c r="E56" s="13" t="n"/>
    </x:row>
    <x:row r="57">
      <x:c r="A57" s="13" t="n"/>
      <x:c r="B57" s="13" t="n"/>
      <x:c r="C57" s="13" t="n"/>
      <x:c r="D57" s="13" t="n"/>
      <x:c r="E57" s="13" t="n"/>
    </x:row>
    <x:row r="58">
      <x:c r="A58" s="13" t="n"/>
      <x:c r="B58" s="13" t="n"/>
      <x:c r="C58" s="13" t="n"/>
      <x:c r="D58" s="13" t="n"/>
      <x:c r="E58" s="13" t="n"/>
    </x:row>
    <x:row r="59">
      <x:c r="A59" s="13" t="n"/>
      <x:c r="B59" s="13" t="n"/>
      <x:c r="C59" s="13" t="n"/>
      <x:c r="D59" s="13" t="n"/>
      <x:c r="E59" s="13" t="n"/>
    </x:row>
    <x:row r="60">
      <x:c r="A60" s="13" t="n"/>
      <x:c r="B60" s="13" t="n"/>
      <x:c r="C60" s="13" t="n"/>
      <x:c r="D60" s="13" t="n"/>
      <x:c r="E60" s="13" t="n"/>
    </x:row>
    <x:row r="61">
      <x:c r="A61" s="13" t="n"/>
      <x:c r="B61" s="13" t="n"/>
      <x:c r="C61" s="13" t="n"/>
      <x:c r="D61" s="13" t="n"/>
      <x:c r="E61" s="13" t="n"/>
    </x:row>
    <x:row r="62">
      <x:c r="A62" s="13" t="n"/>
      <x:c r="B62" s="13" t="n"/>
      <x:c r="C62" s="13" t="n"/>
      <x:c r="D62" s="13" t="n"/>
      <x:c r="E62" s="13" t="n"/>
    </x:row>
    <x:row r="63">
      <x:c r="A63" s="13" t="n"/>
      <x:c r="B63" s="13" t="n"/>
      <x:c r="C63" s="13" t="n"/>
      <x:c r="D63" s="13" t="n"/>
      <x:c r="E63" s="13" t="n"/>
    </x:row>
    <x:row r="64">
      <x:c r="A64" s="13" t="n"/>
      <x:c r="B64" s="13" t="n"/>
      <x:c r="C64" s="13" t="n"/>
      <x:c r="D64" s="13" t="n"/>
      <x:c r="E64" s="13" t="n"/>
    </x:row>
    <x:row r="65">
      <x:c r="A65" s="13" t="n"/>
      <x:c r="B65" s="13" t="n"/>
      <x:c r="C65" s="13" t="n"/>
      <x:c r="D65" s="13" t="n"/>
      <x:c r="E65" s="13" t="n"/>
    </x:row>
    <x:row r="66">
      <x:c r="A66" s="13" t="n"/>
      <x:c r="B66" s="13" t="n"/>
      <x:c r="C66" s="13" t="n"/>
      <x:c r="D66" s="13" t="n"/>
      <x:c r="E66" s="13" t="n"/>
    </x:row>
    <x:row r="67">
      <x:c r="A67" s="13" t="n"/>
      <x:c r="B67" s="13" t="n"/>
      <x:c r="C67" s="13" t="n"/>
      <x:c r="D67" s="13" t="n"/>
      <x:c r="E67" s="13" t="n"/>
    </x:row>
    <x:row r="68">
      <x:c r="A68" s="13" t="n"/>
      <x:c r="B68" s="13" t="n"/>
      <x:c r="C68" s="13" t="n"/>
      <x:c r="D68" s="13" t="n"/>
      <x:c r="E68" s="13" t="n"/>
    </x:row>
    <x:row r="69">
      <x:c r="A69" s="13" t="n"/>
      <x:c r="B69" s="13" t="n"/>
      <x:c r="C69" s="13" t="n"/>
      <x:c r="D69" s="13" t="n"/>
      <x:c r="E69" s="13" t="n"/>
    </x:row>
    <x:row r="70">
      <x:c r="A70" s="13" t="n"/>
      <x:c r="B70" s="13" t="n"/>
      <x:c r="C70" s="13" t="n"/>
      <x:c r="D70" s="13" t="n"/>
      <x:c r="E70" s="13" t="n"/>
    </x:row>
    <x:row r="71">
      <x:c r="A71" s="13" t="n"/>
      <x:c r="B71" s="13" t="n"/>
      <x:c r="C71" s="13" t="n"/>
      <x:c r="D71" s="13" t="n"/>
      <x:c r="E71" s="13" t="n"/>
    </x:row>
    <x:row r="72">
      <x:c r="A72" s="13" t="n"/>
      <x:c r="B72" s="13" t="n"/>
      <x:c r="C72" s="13" t="n"/>
      <x:c r="D72" s="13" t="n"/>
      <x:c r="E72" s="13" t="n"/>
    </x:row>
    <x:row r="73">
      <x:c r="A73" s="13" t="n"/>
      <x:c r="B73" s="13" t="n"/>
      <x:c r="C73" s="13" t="n"/>
      <x:c r="D73" s="13" t="n"/>
      <x:c r="E73" s="13" t="n"/>
    </x:row>
    <x:row r="74">
      <x:c r="A74" s="13" t="n"/>
      <x:c r="B74" s="13" t="n"/>
      <x:c r="C74" s="13" t="n"/>
      <x:c r="D74" s="13" t="n"/>
      <x:c r="E74" s="13" t="n"/>
    </x:row>
    <x:row r="75">
      <x:c r="A75" s="13" t="n"/>
      <x:c r="B75" s="13" t="n"/>
      <x:c r="C75" s="13" t="n"/>
      <x:c r="D75" s="13" t="n"/>
      <x:c r="E75" s="13" t="n"/>
    </x:row>
    <x:row r="76">
      <x:c r="A76" s="13" t="n"/>
      <x:c r="B76" s="13" t="n"/>
      <x:c r="C76" s="13" t="n"/>
      <x:c r="D76" s="13" t="n"/>
      <x:c r="E76" s="13" t="n"/>
    </x:row>
    <x:row r="77">
      <x:c r="A77" s="13" t="n"/>
      <x:c r="B77" s="13" t="n"/>
      <x:c r="C77" s="13" t="n"/>
      <x:c r="D77" s="13" t="n"/>
      <x:c r="E77" s="13" t="n"/>
    </x:row>
    <x:row r="78">
      <x:c r="A78" s="13" t="n"/>
      <x:c r="B78" s="13" t="n"/>
      <x:c r="C78" s="13" t="n"/>
      <x:c r="D78" s="13" t="n"/>
      <x:c r="E78" s="13" t="n"/>
    </x:row>
    <x:row r="79">
      <x:c r="A79" s="13" t="n"/>
      <x:c r="B79" s="13" t="n"/>
      <x:c r="C79" s="13" t="n"/>
      <x:c r="D79" s="13" t="n"/>
      <x:c r="E79" s="13" t="n"/>
    </x:row>
    <x:row r="80">
      <x:c r="A80" s="13" t="n"/>
      <x:c r="B80" s="13" t="n"/>
      <x:c r="C80" s="13" t="n"/>
      <x:c r="D80" s="13" t="n"/>
      <x:c r="E80" s="13" t="n"/>
    </x:row>
    <x:row r="81">
      <x:c r="A81" s="13" t="n"/>
      <x:c r="B81" s="13" t="n"/>
      <x:c r="C81" s="13" t="n"/>
      <x:c r="D81" s="13" t="n"/>
      <x:c r="E81" s="13" t="n"/>
    </x:row>
    <x:row r="82">
      <x:c r="A82" s="13" t="n"/>
      <x:c r="B82" s="13" t="n"/>
      <x:c r="C82" s="13" t="n"/>
      <x:c r="D82" s="13" t="n"/>
      <x:c r="E82" s="13" t="n"/>
    </x:row>
    <x:row r="83">
      <x:c r="A83" s="13" t="n"/>
      <x:c r="B83" s="13" t="n"/>
      <x:c r="C83" s="13" t="n"/>
      <x:c r="D83" s="13" t="n"/>
      <x:c r="E83" s="13" t="n"/>
    </x:row>
    <x:row r="84">
      <x:c r="A84" s="13" t="n"/>
      <x:c r="B84" s="13" t="n"/>
      <x:c r="C84" s="13" t="n"/>
      <x:c r="D84" s="13" t="n"/>
      <x:c r="E84" s="13" t="n"/>
    </x:row>
    <x:row r="85">
      <x:c r="A85" s="13" t="n"/>
      <x:c r="B85" s="13" t="n"/>
      <x:c r="C85" s="13" t="n"/>
      <x:c r="D85" s="13" t="n"/>
      <x:c r="E85" s="13" t="n"/>
    </x:row>
    <x:row r="86">
      <x:c r="A86" s="13" t="n"/>
      <x:c r="B86" s="13" t="n"/>
      <x:c r="C86" s="13" t="n"/>
      <x:c r="D86" s="13" t="n"/>
      <x:c r="E86" s="13" t="n"/>
    </x:row>
    <x:row r="87">
      <x:c r="A87" s="13" t="n"/>
      <x:c r="B87" s="13" t="n"/>
      <x:c r="C87" s="13" t="n"/>
      <x:c r="D87" s="13" t="n"/>
      <x:c r="E87" s="13" t="n"/>
    </x:row>
    <x:row r="88">
      <x:c r="A88" s="13" t="n"/>
      <x:c r="B88" s="13" t="n"/>
      <x:c r="C88" s="13" t="n"/>
      <x:c r="D88" s="13" t="n"/>
      <x:c r="E88" s="13" t="n"/>
    </x:row>
    <x:row r="89">
      <x:c r="A89" s="13" t="n"/>
      <x:c r="B89" s="13" t="n"/>
      <x:c r="C89" s="13" t="n"/>
      <x:c r="D89" s="13" t="n"/>
      <x:c r="E89" s="13" t="n"/>
    </x:row>
    <x:row r="90">
      <x:c r="A90" s="13" t="n"/>
      <x:c r="B90" s="13" t="n"/>
      <x:c r="C90" s="13" t="n"/>
      <x:c r="D90" s="13" t="n"/>
      <x:c r="E90" s="13" t="n"/>
    </x:row>
    <x:row r="91">
      <x:c r="A91" s="13" t="n"/>
      <x:c r="B91" s="13" t="n"/>
      <x:c r="C91" s="13" t="n"/>
      <x:c r="D91" s="13" t="n"/>
      <x:c r="E91" s="13" t="n"/>
    </x:row>
    <x:row r="92">
      <x:c r="A92" s="13" t="n"/>
      <x:c r="B92" s="13" t="n"/>
      <x:c r="C92" s="13" t="n"/>
      <x:c r="D92" s="13" t="n"/>
      <x:c r="E92" s="13" t="n"/>
    </x:row>
    <x:row r="93">
      <x:c r="A93" s="13" t="n"/>
      <x:c r="B93" s="13" t="n"/>
      <x:c r="C93" s="13" t="n"/>
      <x:c r="D93" s="13" t="n"/>
      <x:c r="E93" s="13" t="n"/>
    </x:row>
    <x:row r="94">
      <x:c r="A94" s="13" t="n"/>
      <x:c r="B94" s="13" t="n"/>
      <x:c r="C94" s="13" t="n"/>
      <x:c r="D94" s="13" t="n"/>
      <x:c r="E94" s="13" t="n"/>
    </x:row>
    <x:row r="95">
      <x:c r="A95" s="13" t="n"/>
      <x:c r="B95" s="13" t="n"/>
      <x:c r="C95" s="13" t="n"/>
      <x:c r="D95" s="13" t="n"/>
      <x:c r="E95" s="13" t="n"/>
    </x:row>
    <x:row r="96">
      <x:c r="A96" s="13" t="n"/>
      <x:c r="B96" s="13" t="n"/>
      <x:c r="C96" s="13" t="n"/>
      <x:c r="D96" s="13" t="n"/>
      <x:c r="E96" s="13" t="n"/>
    </x:row>
    <x:row r="97">
      <x:c r="A97" s="13" t="n"/>
      <x:c r="B97" s="13" t="n"/>
      <x:c r="C97" s="13" t="n"/>
      <x:c r="D97" s="13" t="n"/>
      <x:c r="E97" s="13" t="n"/>
    </x:row>
    <x:row r="98">
      <x:c r="A98" s="13" t="n"/>
      <x:c r="B98" s="13" t="n"/>
      <x:c r="C98" s="13" t="n"/>
      <x:c r="D98" s="13" t="n"/>
      <x:c r="E98" s="13" t="n"/>
    </x:row>
    <x:row r="99">
      <x:c r="A99" s="13" t="n"/>
      <x:c r="B99" s="13" t="n"/>
      <x:c r="C99" s="13" t="n"/>
      <x:c r="D99" s="13" t="n"/>
      <x:c r="E99" s="13" t="n"/>
    </x:row>
    <x:row r="100">
      <x:c r="A100" s="13" t="n"/>
      <x:c r="B100" s="13" t="n"/>
      <x:c r="C100" s="13" t="n"/>
      <x:c r="D100" s="13" t="n"/>
      <x:c r="E100" s="13" t="n"/>
    </x:row>
    <x:row r="101">
      <x:c r="A101" s="13" t="n"/>
      <x:c r="B101" s="13" t="n"/>
      <x:c r="C101" s="13" t="n"/>
      <x:c r="D101" s="13" t="n"/>
      <x:c r="E101" s="13" t="n"/>
    </x:row>
  </x:sheetData>
  <x:dataValidations count="1">
    <x:dataValidation type="list" allowBlank="1" showDropDown="0" showInputMessage="0" showErrorMessage="0" sqref="B2 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x:formula1>=Investors!$B$2:$B$21</x:formula1>
    </x:dataValidation>
  </x:dataValidations>
  <x:pageMargins left="0.7" right="0.7" top="0.75" bottom="0.75" header="0.3" footer="0.3"/>
  <x:legacyDrawing xmlns:r="http://schemas.openxmlformats.org/officeDocument/2006/relationships" r:id="R1e6c94ca449040dc"/>
</x:worksheet>
</file>

<file path=xl/worksheets/sheet6.xml><?xml version="1.0" encoding="utf-8"?>
<x:worksheet xmlns:x="http://schemas.openxmlformats.org/spreadsheetml/2006/main">
  <x:sheetFormatPr baseColWidth="8" defaultRowHeight="15"/>
  <x:cols>
    <x:col min="1" max="1" width="14" customWidth="1"/>
    <x:col min="2" max="2" width="18" customWidth="1"/>
    <x:col min="3" max="3" width="16" customWidth="1"/>
    <x:col min="4" max="4" width="16" customWidth="1"/>
    <x:col min="5" max="5" width="18" customWidth="1"/>
    <x:col min="6" max="6" width="16" customWidth="1"/>
    <x:col min="7" max="7" width="16" customWidth="1"/>
    <x:col min="8" max="8" width="16" customWidth="1"/>
    <x:col min="9" max="9" width="18" customWidth="1"/>
    <x:col min="10" max="10" width="16" customWidth="1"/>
  </x:cols>
  <x:sheetData>
    <x:row r="1">
      <x:c r="A1" s="17" t="inlineStr">
        <x:is>
          <x:t xml:space="preserve">Payout Priority</x:t>
        </x:is>
      </x:c>
      <x:c r="B1" s="17" t="inlineStr">
        <x:is>
          <x:t xml:space="preserve">Investor Name</x:t>
        </x:is>
      </x:c>
      <x:c r="C1" s="17" t="inlineStr">
        <x:is>
          <x:t xml:space="preserve">Total Investment (CHF)</x:t>
        </x:is>
      </x:c>
      <x:c r="D1" s="17" t="inlineStr">
        <x:is>
          <x:t xml:space="preserve">Already Repaid (CHF)</x:t>
        </x:is>
      </x:c>
      <x:c r="E1" s="17" t="inlineStr">
        <x:is>
          <x:t xml:space="preserve">Outstanding Investment (CHF)</x:t>
        </x:is>
      </x:c>
      <x:c r="F1" s="17" t="inlineStr">
        <x:is>
          <x:t xml:space="preserve">Consumed Quantity (g)</x:t>
        </x:is>
      </x:c>
      <x:c r="G1" s="17" t="inlineStr">
        <x:is>
          <x:t xml:space="preserve">Internal Debt (CHF)</x:t>
        </x:is>
      </x:c>
      <x:c r="H1" s="17" t="inlineStr">
        <x:is>
          <x:t xml:space="preserve">Paid Internal (CHF)</x:t>
        </x:is>
      </x:c>
      <x:c r="I1" s="17" t="inlineStr">
        <x:is>
          <x:t xml:space="preserve">Outstanding Internal Debt (CHF)</x:t>
        </x:is>
      </x:c>
      <x:c r="J1" s="17" t="inlineStr">
        <x:is>
          <x:t xml:space="preserve">Profit Received (CHF)</x:t>
        </x:is>
      </x:c>
    </x:row>
    <x:row r="2">
      <x:c r="A2" s="13" t="n">
        <x:v>1</x:v>
      </x:c>
      <x:c r="B2" s="13" t="inlineStr">
        <x:is>
          <x:t xml:space="preserve">Morris</x:t>
        </x:is>
      </x:c>
      <x:c r="C2" s="16">
        <x:f>IF(B2&lt;&gt;"",SUMIF(Investments!$B:$B,B2,Investments!$C:$C),0)</x:f>
        <x:v>500</x:v>
      </x:c>
      <x:c r="D2" s="16">
        <x:f>IF(B2&lt;&gt;"",SUMIF(Investments!$B:$B,B2,Investments!$D:$D),0)</x:f>
        <x:v>500</x:v>
      </x:c>
      <x:c r="E2" s="16">
        <x:f>C2-D2</x:f>
        <x:v>0</x:v>
      </x:c>
      <x:c r="F2" s="15">
        <x:f>IF(B2="Morris",SUM(Sales!$K:$K),IF(B2="Boryana",SUM(Sales!$L:$L),0))</x:f>
        <x:v>8.5</x:v>
      </x:c>
      <x:c r="G2" s="16">
        <x:f>F2*Parameters!$B$2</x:f>
        <x:v>297.5</x:v>
      </x:c>
      <x:c r="H2" s="18" t="n">
        <x:v>0</x:v>
      </x:c>
      <x:c r="I2" s="16">
        <x:f>G2-H2</x:f>
        <x:v>297.5</x:v>
      </x:c>
      <x:c r="J2" s="16">
        <x:f>IF(B2="Morris",SUM(Sales!$T:$T),IF(B2="Boryana",SUM(Sales!$U:$U),0))</x:f>
        <x:v>215</x:v>
      </x:c>
    </x:row>
    <x:row r="3">
      <x:c r="A3" s="13" t="n">
        <x:v>2</x:v>
      </x:c>
      <x:c r="B3" s="13" t="inlineStr">
        <x:is>
          <x:t xml:space="preserve">Third Party Investor</x:t>
        </x:is>
      </x:c>
      <x:c r="C3" s="16">
        <x:f>IF(B3&lt;&gt;"",SUMIF(Investments!$B:$B,B3,Investments!$C:$C),0)</x:f>
        <x:v>3000</x:v>
      </x:c>
      <x:c r="D3" s="16">
        <x:f>IF(B3&lt;&gt;"",SUMIF(Investments!$B:$B,B3,Investments!$D:$D),0)</x:f>
        <x:v>500</x:v>
      </x:c>
      <x:c r="E3" s="16">
        <x:f>C3-D3</x:f>
        <x:v>2500</x:v>
      </x:c>
      <x:c r="F3" s="15">
        <x:f>IF(B3="Morris",SUM(Sales!$K:$K),IF(B3="Boryana",SUM(Sales!$L:$L),0))</x:f>
        <x:v>0</x:v>
      </x:c>
      <x:c r="G3" s="16">
        <x:f>F3*Parameters!$B$2</x:f>
        <x:v>0</x:v>
      </x:c>
      <x:c r="H3" s="18" t="n">
        <x:v>0</x:v>
      </x:c>
      <x:c r="I3" s="16">
        <x:f>G3-H3</x:f>
        <x:v>0</x:v>
      </x:c>
      <x:c r="J3" s="16">
        <x:f>IF(B3="Morris",SUM(Sales!$T:$T),IF(B3="Boryana",SUM(Sales!$U:$U),0))</x:f>
        <x:v>0</x:v>
      </x:c>
    </x:row>
    <x:row r="4">
      <x:c r="A4" s="13" t="n">
        <x:v>3</x:v>
      </x:c>
      <x:c r="B4" s="13" t="inlineStr">
        <x:is>
          <x:t xml:space="preserve">Boryana</x:t>
        </x:is>
      </x:c>
      <x:c r="C4" s="16">
        <x:f>IF(B4&lt;&gt;"",SUMIF(Investments!$B:$B,B4,Investments!$C:$C),0)</x:f>
        <x:v>0</x:v>
      </x:c>
      <x:c r="D4" s="16">
        <x:f>IF(B4&lt;&gt;"",SUMIF(Investments!$B:$B,B4,Investments!$D:$D),0)</x:f>
        <x:v>0</x:v>
      </x:c>
      <x:c r="E4" s="16">
        <x:f>C4-D4</x:f>
        <x:v>0</x:v>
      </x:c>
      <x:c r="F4" s="15">
        <x:f>IF(B4="Morris",SUM(Sales!$K:$K),IF(B4="Boryana",SUM(Sales!$L:$L),0))</x:f>
        <x:v>0</x:v>
      </x:c>
      <x:c r="G4" s="16">
        <x:f>F4*Parameters!$B$2</x:f>
        <x:v>0</x:v>
      </x:c>
      <x:c r="H4" s="18" t="n">
        <x:v>0</x:v>
      </x:c>
      <x:c r="I4" s="16">
        <x:f>G4-H4</x:f>
        <x:v>0</x:v>
      </x:c>
      <x:c r="J4" s="16">
        <x:f>IF(B4="Morris",SUM(Sales!$T:$T),IF(B4="Boryana",SUM(Sales!$U:$U),0))</x:f>
        <x:v>215</x:v>
      </x:c>
    </x:row>
    <x:row r="5">
      <x:c r="A5" s="13" t="n"/>
      <x:c r="B5" s="13" t="n"/>
      <x:c r="C5" s="16">
        <x:f>IF(B5&lt;&gt;"",SUMIF(Investments!$B:$B,B5,Investments!$C:$C),0)</x:f>
        <x:v>0</x:v>
      </x:c>
      <x:c r="D5" s="16">
        <x:f>IF(B5&lt;&gt;"",SUMIF(Investments!$B:$B,B5,Investments!$D:$D),0)</x:f>
        <x:v>0</x:v>
      </x:c>
      <x:c r="E5" s="16">
        <x:f>C5-D5</x:f>
        <x:v>0</x:v>
      </x:c>
      <x:c r="F5" s="15">
        <x:f>IF(B5="Morris",SUM(Sales!$K:$K),IF(B5="Boryana",SUM(Sales!$L:$L),0))</x:f>
        <x:v>0</x:v>
      </x:c>
      <x:c r="G5" s="16">
        <x:f>F5*Parameters!$B$2</x:f>
        <x:v>0</x:v>
      </x:c>
      <x:c r="H5" s="18" t="n"/>
      <x:c r="I5" s="16">
        <x:f>G5-H5</x:f>
        <x:v>0</x:v>
      </x:c>
      <x:c r="J5" s="16">
        <x:f>IF(B5="Morris",SUM(Sales!$T:$T),IF(B5="Boryana",SUM(Sales!$U:$U),0))</x:f>
        <x:v>0</x:v>
      </x:c>
    </x:row>
    <x:row r="6">
      <x:c r="A6" s="13" t="n"/>
      <x:c r="B6" s="13" t="n"/>
      <x:c r="C6" s="16">
        <x:f>IF(B6&lt;&gt;"",SUMIF(Investments!$B:$B,B6,Investments!$C:$C),0)</x:f>
        <x:v>0</x:v>
      </x:c>
      <x:c r="D6" s="16">
        <x:f>IF(B6&lt;&gt;"",SUMIF(Investments!$B:$B,B6,Investments!$D:$D),0)</x:f>
        <x:v>0</x:v>
      </x:c>
      <x:c r="E6" s="16">
        <x:f>C6-D6</x:f>
        <x:v>0</x:v>
      </x:c>
      <x:c r="F6" s="15">
        <x:f>IF(B6="Morris",SUM(Sales!$K:$K),IF(B6="Boryana",SUM(Sales!$L:$L),0))</x:f>
        <x:v>0</x:v>
      </x:c>
      <x:c r="G6" s="16">
        <x:f>F6*Parameters!$B$2</x:f>
        <x:v>0</x:v>
      </x:c>
      <x:c r="H6" s="18" t="n"/>
      <x:c r="I6" s="16">
        <x:f>G6-H6</x:f>
        <x:v>0</x:v>
      </x:c>
      <x:c r="J6" s="16">
        <x:f>IF(B6="Morris",SUM(Sales!$T:$T),IF(B6="Boryana",SUM(Sales!$U:$U),0))</x:f>
        <x:v>0</x:v>
      </x:c>
    </x:row>
    <x:row r="7">
      <x:c r="A7" s="13" t="n"/>
      <x:c r="B7" s="13" t="n"/>
      <x:c r="C7" s="16">
        <x:f>IF(B7&lt;&gt;"",SUMIF(Investments!$B:$B,B7,Investments!$C:$C),0)</x:f>
        <x:v>0</x:v>
      </x:c>
      <x:c r="D7" s="16">
        <x:f>IF(B7&lt;&gt;"",SUMIF(Investments!$B:$B,B7,Investments!$D:$D),0)</x:f>
        <x:v>0</x:v>
      </x:c>
      <x:c r="E7" s="16">
        <x:f>C7-D7</x:f>
        <x:v>0</x:v>
      </x:c>
      <x:c r="F7" s="15">
        <x:f>IF(B7="Morris",SUM(Sales!$K:$K),IF(B7="Boryana",SUM(Sales!$L:$L),0))</x:f>
        <x:v>0</x:v>
      </x:c>
      <x:c r="G7" s="16">
        <x:f>F7*Parameters!$B$2</x:f>
        <x:v>0</x:v>
      </x:c>
      <x:c r="H7" s="18" t="n"/>
      <x:c r="I7" s="16">
        <x:f>G7-H7</x:f>
        <x:v>0</x:v>
      </x:c>
      <x:c r="J7" s="16">
        <x:f>IF(B7="Morris",SUM(Sales!$T:$T),IF(B7="Boryana",SUM(Sales!$U:$U),0))</x:f>
        <x:v>0</x:v>
      </x:c>
    </x:row>
    <x:row r="8">
      <x:c r="A8" s="13" t="n"/>
      <x:c r="B8" s="13" t="n"/>
      <x:c r="C8" s="16">
        <x:f>IF(B8&lt;&gt;"",SUMIF(Investments!$B:$B,B8,Investments!$C:$C),0)</x:f>
        <x:v>0</x:v>
      </x:c>
      <x:c r="D8" s="16">
        <x:f>IF(B8&lt;&gt;"",SUMIF(Investments!$B:$B,B8,Investments!$D:$D),0)</x:f>
        <x:v>0</x:v>
      </x:c>
      <x:c r="E8" s="16">
        <x:f>C8-D8</x:f>
        <x:v>0</x:v>
      </x:c>
      <x:c r="F8" s="15">
        <x:f>IF(B8="Morris",SUM(Sales!$K:$K),IF(B8="Boryana",SUM(Sales!$L:$L),0))</x:f>
        <x:v>0</x:v>
      </x:c>
      <x:c r="G8" s="16">
        <x:f>F8*Parameters!$B$2</x:f>
        <x:v>0</x:v>
      </x:c>
      <x:c r="H8" s="18" t="n"/>
      <x:c r="I8" s="16">
        <x:f>G8-H8</x:f>
        <x:v>0</x:v>
      </x:c>
      <x:c r="J8" s="16">
        <x:f>IF(B8="Morris",SUM(Sales!$T:$T),IF(B8="Boryana",SUM(Sales!$U:$U),0))</x:f>
        <x:v>0</x:v>
      </x:c>
    </x:row>
    <x:row r="9">
      <x:c r="A9" s="13" t="n"/>
      <x:c r="B9" s="13" t="n"/>
      <x:c r="C9" s="16">
        <x:f>IF(B9&lt;&gt;"",SUMIF(Investments!$B:$B,B9,Investments!$C:$C),0)</x:f>
        <x:v>0</x:v>
      </x:c>
      <x:c r="D9" s="16">
        <x:f>IF(B9&lt;&gt;"",SUMIF(Investments!$B:$B,B9,Investments!$D:$D),0)</x:f>
        <x:v>0</x:v>
      </x:c>
      <x:c r="E9" s="16">
        <x:f>C9-D9</x:f>
        <x:v>0</x:v>
      </x:c>
      <x:c r="F9" s="15">
        <x:f>IF(B9="Morris",SUM(Sales!$K:$K),IF(B9="Boryana",SUM(Sales!$L:$L),0))</x:f>
        <x:v>0</x:v>
      </x:c>
      <x:c r="G9" s="16">
        <x:f>F9*Parameters!$B$2</x:f>
        <x:v>0</x:v>
      </x:c>
      <x:c r="H9" s="18" t="n"/>
      <x:c r="I9" s="16">
        <x:f>G9-H9</x:f>
        <x:v>0</x:v>
      </x:c>
      <x:c r="J9" s="16">
        <x:f>IF(B9="Morris",SUM(Sales!$T:$T),IF(B9="Boryana",SUM(Sales!$U:$U),0))</x:f>
        <x:v>0</x:v>
      </x:c>
    </x:row>
    <x:row r="10">
      <x:c r="A10" s="13" t="n"/>
      <x:c r="B10" s="13" t="n"/>
      <x:c r="C10" s="16">
        <x:f>IF(B10&lt;&gt;"",SUMIF(Investments!$B:$B,B10,Investments!$C:$C),0)</x:f>
        <x:v>0</x:v>
      </x:c>
      <x:c r="D10" s="16">
        <x:f>IF(B10&lt;&gt;"",SUMIF(Investments!$B:$B,B10,Investments!$D:$D),0)</x:f>
        <x:v>0</x:v>
      </x:c>
      <x:c r="E10" s="16">
        <x:f>C10-D10</x:f>
        <x:v>0</x:v>
      </x:c>
      <x:c r="F10" s="15">
        <x:f>IF(B10="Morris",SUM(Sales!$K:$K),IF(B10="Boryana",SUM(Sales!$L:$L),0))</x:f>
        <x:v>0</x:v>
      </x:c>
      <x:c r="G10" s="16">
        <x:f>F10*Parameters!$B$2</x:f>
        <x:v>0</x:v>
      </x:c>
      <x:c r="H10" s="18" t="n"/>
      <x:c r="I10" s="16">
        <x:f>G10-H10</x:f>
        <x:v>0</x:v>
      </x:c>
      <x:c r="J10" s="16">
        <x:f>IF(B10="Morris",SUM(Sales!$T:$T),IF(B10="Boryana",SUM(Sales!$U:$U),0))</x:f>
        <x:v>0</x:v>
      </x:c>
    </x:row>
    <x:row r="11">
      <x:c r="A11" s="13" t="n"/>
      <x:c r="B11" s="13" t="n"/>
      <x:c r="C11" s="16">
        <x:f>IF(B11&lt;&gt;"",SUMIF(Investments!$B:$B,B11,Investments!$C:$C),0)</x:f>
        <x:v>0</x:v>
      </x:c>
      <x:c r="D11" s="16">
        <x:f>IF(B11&lt;&gt;"",SUMIF(Investments!$B:$B,B11,Investments!$D:$D),0)</x:f>
        <x:v>0</x:v>
      </x:c>
      <x:c r="E11" s="16">
        <x:f>C11-D11</x:f>
        <x:v>0</x:v>
      </x:c>
      <x:c r="F11" s="15">
        <x:f>IF(B11="Morris",SUM(Sales!$K:$K),IF(B11="Boryana",SUM(Sales!$L:$L),0))</x:f>
        <x:v>0</x:v>
      </x:c>
      <x:c r="G11" s="16">
        <x:f>F11*Parameters!$B$2</x:f>
        <x:v>0</x:v>
      </x:c>
      <x:c r="H11" s="18" t="n"/>
      <x:c r="I11" s="16">
        <x:f>G11-H11</x:f>
        <x:v>0</x:v>
      </x:c>
      <x:c r="J11" s="16">
        <x:f>IF(B11="Morris",SUM(Sales!$T:$T),IF(B11="Boryana",SUM(Sales!$U:$U),0))</x:f>
        <x:v>0</x:v>
      </x:c>
    </x:row>
  </x:sheetData>
  <x:pageMargins left="0.7" right="0.7" top="0.75" bottom="0.75" header="0.3" footer="0.3"/>
  <x:legacyDrawing xmlns:r="http://schemas.openxmlformats.org/officeDocument/2006/relationships" r:id="R573e473667e947de"/>
</x:worksheet>
</file>

<file path=xl/worksheets/sheet7.xml><?xml version="1.0" encoding="utf-8"?>
<x:worksheet xmlns:x="http://schemas.openxmlformats.org/spreadsheetml/2006/main">
  <x:sheetFormatPr baseColWidth="8" defaultRowHeight="15"/>
  <x:cols>
    <x:col min="1" max="1" width="18" customWidth="1"/>
    <x:col min="2" max="2" width="18" customWidth="1"/>
    <x:col min="3" max="3" width="24" customWidth="1"/>
    <x:col min="4" max="4" width="16" customWidth="1"/>
    <x:col min="5" max="5" width="16" customWidth="1"/>
    <x:col min="6" max="6" width="18" customWidth="1"/>
    <x:col min="7" max="7" width="16" customWidth="1"/>
    <x:col min="8" max="8" width="24" customWidth="1"/>
  </x:cols>
  <x:sheetData>
    <x:row r="1">
      <x:c r="A1" s="17" t="inlineStr">
        <x:is>
          <x:t xml:space="preserve">Customer Name</x:t>
        </x:is>
      </x:c>
      <x:c r="B1" s="17" t="inlineStr">
        <x:is>
          <x:t xml:space="preserve">Phone</x:t>
        </x:is>
      </x:c>
      <x:c r="C1" s="17" t="inlineStr">
        <x:is>
          <x:t xml:space="preserve">Email</x:t>
        </x:is>
      </x:c>
      <x:c r="D1" s="17" t="inlineStr">
        <x:is>
          <x:t xml:space="preserve">Total Purchased (g)</x:t>
        </x:is>
      </x:c>
      <x:c r="E1" s="17" t="inlineStr">
        <x:is>
          <x:t xml:space="preserve">Total Paid (CHF)</x:t>
        </x:is>
      </x:c>
      <x:c r="F1" s="17" t="inlineStr">
        <x:is>
          <x:t xml:space="preserve">Outstanding Debt (CHF)</x:t>
        </x:is>
      </x:c>
      <x:c r="G1" s="17" t="inlineStr">
        <x:is>
          <x:t xml:space="preserve">Avg Price per g (CHF)</x:t>
        </x:is>
      </x:c>
      <x:c r="H1" s="17" t="inlineStr">
        <x:is>
          <x:t xml:space="preserve">Notes</x:t>
        </x:is>
      </x:c>
    </x:row>
    <x:row r="2">
      <x:c r="A2" s="13" t="inlineStr">
        <x:is>
          <x:t xml:space="preserve">Zahnarzt</x:t>
        </x:is>
      </x:c>
      <x:c r="B2" s="13" t="inlineStr">
        <x:is>
          <x:t xml:space="preserve"/>
        </x:is>
      </x:c>
      <x:c r="C2" s="13" t="inlineStr">
        <x:is>
          <x:t xml:space="preserve"/>
        </x:is>
      </x:c>
      <x:c r="D2" s="15">
        <x:f>IF(A2&lt;&gt;"",SUMIF(Sales!$D:$D,A2,Sales!$H:$H),0)</x:f>
        <x:v>10</x:v>
      </x:c>
      <x:c r="E2" s="16">
        <x:f>IF(A2&lt;&gt;"",SUMIF(Sales!$D:$D,A2,Sales!$V:$V),0)</x:f>
        <x:v>550</x:v>
      </x:c>
      <x:c r="F2" s="16">
        <x:f>IF(A2&lt;&gt;"",SUMIF(Sales!$D:$D,A2,Sales!$W:$W),0)</x:f>
        <x:v>0</x:v>
      </x:c>
      <x:c r="G2" s="16">
        <x:f>IF(D2&gt;0, E2/D2,0)</x:f>
        <x:v>55</x:v>
      </x:c>
      <x:c r="H2" s="13" t="inlineStr">
        <x:is>
          <x:t xml:space="preserve">Known sale: 10g</x:t>
        </x:is>
      </x:c>
    </x:row>
    <x:row r="3">
      <x:c r="A3" s="13" t="inlineStr">
        <x:is>
          <x:t xml:space="preserve">Sandro</x:t>
        </x:is>
      </x:c>
      <x:c r="B3" s="13" t="inlineStr">
        <x:is>
          <x:t xml:space="preserve"/>
        </x:is>
      </x:c>
      <x:c r="C3" s="13" t="inlineStr">
        <x:is>
          <x:t xml:space="preserve"/>
        </x:is>
      </x:c>
      <x:c r="D3" s="15">
        <x:f>IF(A3&lt;&gt;"",SUMIF(Sales!$D:$D,A3,Sales!$H:$H),0)</x:f>
        <x:v>5</x:v>
      </x:c>
      <x:c r="E3" s="16">
        <x:f>IF(A3&lt;&gt;"",SUMIF(Sales!$D:$D,A3,Sales!$V:$V),0)</x:f>
        <x:v>275</x:v>
      </x:c>
      <x:c r="F3" s="16">
        <x:f>IF(A3&lt;&gt;"",SUMIF(Sales!$D:$D,A3,Sales!$W:$W),0)</x:f>
        <x:v>0</x:v>
      </x:c>
      <x:c r="G3" s="16">
        <x:f>IF(D3&gt;0, E3/D3,0)</x:f>
        <x:v>55</x:v>
      </x:c>
      <x:c r="H3" s="13" t="inlineStr">
        <x:is>
          <x:t xml:space="preserve">Known sale: 5g</x:t>
        </x:is>
      </x:c>
    </x:row>
    <x:row r="4">
      <x:c r="A4" s="13" t="inlineStr">
        <x:is>
          <x:t xml:space="preserve">Martin</x:t>
        </x:is>
      </x:c>
      <x:c r="B4" s="13" t="inlineStr">
        <x:is>
          <x:t xml:space="preserve"/>
        </x:is>
      </x:c>
      <x:c r="C4" s="13" t="inlineStr">
        <x:is>
          <x:t xml:space="preserve"/>
        </x:is>
      </x:c>
      <x:c r="D4" s="15">
        <x:f>IF(A4&lt;&gt;"",SUMIF(Sales!$D:$D,A4,Sales!$H:$H),0)</x:f>
        <x:v>2</x:v>
      </x:c>
      <x:c r="E4" s="16">
        <x:f>IF(A4&lt;&gt;"",SUMIF(Sales!$D:$D,A4,Sales!$V:$V),0)</x:f>
        <x:v>100</x:v>
      </x:c>
      <x:c r="F4" s="16">
        <x:f>IF(A4&lt;&gt;"",SUMIF(Sales!$D:$D,A4,Sales!$W:$W),0)</x:f>
        <x:v>0</x:v>
      </x:c>
      <x:c r="G4" s="16">
        <x:f>IF(D4&gt;0, E4/D4,0)</x:f>
        <x:v>50</x:v>
      </x:c>
      <x:c r="H4" s="13" t="inlineStr">
        <x:is>
          <x:t xml:space="preserve">Known sale: 2g</x:t>
        </x:is>
      </x:c>
    </x:row>
    <x:row r="5">
      <x:c r="A5" s="13" t="inlineStr">
        <x:is>
          <x:t xml:space="preserve">Ruben</x:t>
        </x:is>
      </x:c>
      <x:c r="B5" s="13" t="inlineStr">
        <x:is>
          <x:t xml:space="preserve"/>
        </x:is>
      </x:c>
      <x:c r="C5" s="13" t="inlineStr">
        <x:is>
          <x:t xml:space="preserve"/>
        </x:is>
      </x:c>
      <x:c r="D5" s="15">
        <x:f>IF(A5&lt;&gt;"",SUMIF(Sales!$D:$D,A5,Sales!$H:$H),0)</x:f>
        <x:v>5</x:v>
      </x:c>
      <x:c r="E5" s="16">
        <x:f>IF(A5&lt;&gt;"",SUMIF(Sales!$D:$D,A5,Sales!$V:$V),0)</x:f>
        <x:v>75</x:v>
      </x:c>
      <x:c r="F5" s="16">
        <x:f>IF(A5&lt;&gt;"",SUMIF(Sales!$D:$D,A5,Sales!$W:$W),0)</x:f>
        <x:v>200</x:v>
      </x:c>
      <x:c r="G5" s="16">
        <x:f>IF(D5&gt;0, E5/D5,0)</x:f>
        <x:v>15</x:v>
      </x:c>
      <x:c r="H5" s="13" t="inlineStr">
        <x:is>
          <x:t xml:space="preserve">Known sale: 5g; 200 CHF still open included here</x:t>
        </x:is>
      </x:c>
    </x:row>
    <x:row r="6">
      <x:c r="A6" s="13" t="n"/>
      <x:c r="B6" s="13" t="n"/>
      <x:c r="C6" s="13" t="n"/>
      <x:c r="D6" s="15">
        <x:f>IF(A6&lt;&gt;"",SUMIF(Sales!$D:$D,A6,Sales!$H:$H),0)</x:f>
        <x:v>0</x:v>
      </x:c>
      <x:c r="E6" s="16">
        <x:f>IF(A6&lt;&gt;"",SUMIF(Sales!$D:$D,A6,Sales!$V:$V),0)</x:f>
        <x:v>0</x:v>
      </x:c>
      <x:c r="F6" s="16">
        <x:f>IF(A6&lt;&gt;"",SUMIF(Sales!$D:$D,A6,Sales!$W:$W),0)</x:f>
        <x:v>0</x:v>
      </x:c>
      <x:c r="G6" s="16">
        <x:f>IF(D6&gt;0, E6/D6,0)</x:f>
        <x:v>0</x:v>
      </x:c>
      <x:c r="H6" s="13" t="n"/>
    </x:row>
    <x:row r="7">
      <x:c r="A7" s="13" t="n"/>
      <x:c r="B7" s="13" t="n"/>
      <x:c r="C7" s="13" t="n"/>
      <x:c r="D7" s="15">
        <x:f>IF(A7&lt;&gt;"",SUMIF(Sales!$D:$D,A7,Sales!$H:$H),0)</x:f>
        <x:v>0</x:v>
      </x:c>
      <x:c r="E7" s="16">
        <x:f>IF(A7&lt;&gt;"",SUMIF(Sales!$D:$D,A7,Sales!$V:$V),0)</x:f>
        <x:v>0</x:v>
      </x:c>
      <x:c r="F7" s="16">
        <x:f>IF(A7&lt;&gt;"",SUMIF(Sales!$D:$D,A7,Sales!$W:$W),0)</x:f>
        <x:v>0</x:v>
      </x:c>
      <x:c r="G7" s="16">
        <x:f>IF(D7&gt;0, E7/D7,0)</x:f>
        <x:v>0</x:v>
      </x:c>
      <x:c r="H7" s="13" t="n"/>
    </x:row>
    <x:row r="8">
      <x:c r="A8" s="13" t="n"/>
      <x:c r="B8" s="13" t="n"/>
      <x:c r="C8" s="13" t="n"/>
      <x:c r="D8" s="15">
        <x:f>IF(A8&lt;&gt;"",SUMIF(Sales!$D:$D,A8,Sales!$H:$H),0)</x:f>
        <x:v>0</x:v>
      </x:c>
      <x:c r="E8" s="16">
        <x:f>IF(A8&lt;&gt;"",SUMIF(Sales!$D:$D,A8,Sales!$V:$V),0)</x:f>
        <x:v>0</x:v>
      </x:c>
      <x:c r="F8" s="16">
        <x:f>IF(A8&lt;&gt;"",SUMIF(Sales!$D:$D,A8,Sales!$W:$W),0)</x:f>
        <x:v>0</x:v>
      </x:c>
      <x:c r="G8" s="16">
        <x:f>IF(D8&gt;0, E8/D8,0)</x:f>
        <x:v>0</x:v>
      </x:c>
      <x:c r="H8" s="13" t="n"/>
    </x:row>
    <x:row r="9">
      <x:c r="A9" s="13" t="n"/>
      <x:c r="B9" s="13" t="n"/>
      <x:c r="C9" s="13" t="n"/>
      <x:c r="D9" s="15">
        <x:f>IF(A9&lt;&gt;"",SUMIF(Sales!$D:$D,A9,Sales!$H:$H),0)</x:f>
        <x:v>0</x:v>
      </x:c>
      <x:c r="E9" s="16">
        <x:f>IF(A9&lt;&gt;"",SUMIF(Sales!$D:$D,A9,Sales!$V:$V),0)</x:f>
        <x:v>0</x:v>
      </x:c>
      <x:c r="F9" s="16">
        <x:f>IF(A9&lt;&gt;"",SUMIF(Sales!$D:$D,A9,Sales!$W:$W),0)</x:f>
        <x:v>0</x:v>
      </x:c>
      <x:c r="G9" s="16">
        <x:f>IF(D9&gt;0, E9/D9,0)</x:f>
        <x:v>0</x:v>
      </x:c>
      <x:c r="H9" s="13" t="n"/>
    </x:row>
    <x:row r="10">
      <x:c r="A10" s="13" t="n"/>
      <x:c r="B10" s="13" t="n"/>
      <x:c r="C10" s="13" t="n"/>
      <x:c r="D10" s="15">
        <x:f>IF(A10&lt;&gt;"",SUMIF(Sales!$D:$D,A10,Sales!$H:$H),0)</x:f>
        <x:v>0</x:v>
      </x:c>
      <x:c r="E10" s="16">
        <x:f>IF(A10&lt;&gt;"",SUMIF(Sales!$D:$D,A10,Sales!$V:$V),0)</x:f>
        <x:v>0</x:v>
      </x:c>
      <x:c r="F10" s="16">
        <x:f>IF(A10&lt;&gt;"",SUMIF(Sales!$D:$D,A10,Sales!$W:$W),0)</x:f>
        <x:v>0</x:v>
      </x:c>
      <x:c r="G10" s="16">
        <x:f>IF(D10&gt;0, E10/D10,0)</x:f>
        <x:v>0</x:v>
      </x:c>
      <x:c r="H10" s="13" t="n"/>
    </x:row>
    <x:row r="11">
      <x:c r="A11" s="13" t="n"/>
      <x:c r="B11" s="13" t="n"/>
      <x:c r="C11" s="13" t="n"/>
      <x:c r="D11" s="15">
        <x:f>IF(A11&lt;&gt;"",SUMIF(Sales!$D:$D,A11,Sales!$H:$H),0)</x:f>
        <x:v>0</x:v>
      </x:c>
      <x:c r="E11" s="16">
        <x:f>IF(A11&lt;&gt;"",SUMIF(Sales!$D:$D,A11,Sales!$V:$V),0)</x:f>
        <x:v>0</x:v>
      </x:c>
      <x:c r="F11" s="16">
        <x:f>IF(A11&lt;&gt;"",SUMIF(Sales!$D:$D,A11,Sales!$W:$W),0)</x:f>
        <x:v>0</x:v>
      </x:c>
      <x:c r="G11" s="16">
        <x:f>IF(D11&gt;0, E11/D11,0)</x:f>
        <x:v>0</x:v>
      </x:c>
      <x:c r="H11" s="13" t="n"/>
    </x:row>
    <x:row r="12">
      <x:c r="A12" s="13" t="n"/>
      <x:c r="B12" s="13" t="n"/>
      <x:c r="C12" s="13" t="n"/>
      <x:c r="D12" s="15">
        <x:f>IF(A12&lt;&gt;"",SUMIF(Sales!$D:$D,A12,Sales!$H:$H),0)</x:f>
        <x:v>0</x:v>
      </x:c>
      <x:c r="E12" s="16">
        <x:f>IF(A12&lt;&gt;"",SUMIF(Sales!$D:$D,A12,Sales!$V:$V),0)</x:f>
        <x:v>0</x:v>
      </x:c>
      <x:c r="F12" s="16">
        <x:f>IF(A12&lt;&gt;"",SUMIF(Sales!$D:$D,A12,Sales!$W:$W),0)</x:f>
        <x:v>0</x:v>
      </x:c>
      <x:c r="G12" s="16">
        <x:f>IF(D12&gt;0, E12/D12,0)</x:f>
        <x:v>0</x:v>
      </x:c>
      <x:c r="H12" s="13" t="n"/>
    </x:row>
    <x:row r="13">
      <x:c r="A13" s="13" t="n"/>
      <x:c r="B13" s="13" t="n"/>
      <x:c r="C13" s="13" t="n"/>
      <x:c r="D13" s="15">
        <x:f>IF(A13&lt;&gt;"",SUMIF(Sales!$D:$D,A13,Sales!$H:$H),0)</x:f>
        <x:v>0</x:v>
      </x:c>
      <x:c r="E13" s="16">
        <x:f>IF(A13&lt;&gt;"",SUMIF(Sales!$D:$D,A13,Sales!$V:$V),0)</x:f>
        <x:v>0</x:v>
      </x:c>
      <x:c r="F13" s="16">
        <x:f>IF(A13&lt;&gt;"",SUMIF(Sales!$D:$D,A13,Sales!$W:$W),0)</x:f>
        <x:v>0</x:v>
      </x:c>
      <x:c r="G13" s="16">
        <x:f>IF(D13&gt;0, E13/D13,0)</x:f>
        <x:v>0</x:v>
      </x:c>
      <x:c r="H13" s="13" t="n"/>
    </x:row>
    <x:row r="14">
      <x:c r="A14" s="13" t="n"/>
      <x:c r="B14" s="13" t="n"/>
      <x:c r="C14" s="13" t="n"/>
      <x:c r="D14" s="15">
        <x:f>IF(A14&lt;&gt;"",SUMIF(Sales!$D:$D,A14,Sales!$H:$H),0)</x:f>
        <x:v>0</x:v>
      </x:c>
      <x:c r="E14" s="16">
        <x:f>IF(A14&lt;&gt;"",SUMIF(Sales!$D:$D,A14,Sales!$V:$V),0)</x:f>
        <x:v>0</x:v>
      </x:c>
      <x:c r="F14" s="16">
        <x:f>IF(A14&lt;&gt;"",SUMIF(Sales!$D:$D,A14,Sales!$W:$W),0)</x:f>
        <x:v>0</x:v>
      </x:c>
      <x:c r="G14" s="16">
        <x:f>IF(D14&gt;0, E14/D14,0)</x:f>
        <x:v>0</x:v>
      </x:c>
      <x:c r="H14" s="13" t="n"/>
    </x:row>
    <x:row r="15">
      <x:c r="A15" s="13" t="n"/>
      <x:c r="B15" s="13" t="n"/>
      <x:c r="C15" s="13" t="n"/>
      <x:c r="D15" s="15">
        <x:f>IF(A15&lt;&gt;"",SUMIF(Sales!$D:$D,A15,Sales!$H:$H),0)</x:f>
        <x:v>0</x:v>
      </x:c>
      <x:c r="E15" s="16">
        <x:f>IF(A15&lt;&gt;"",SUMIF(Sales!$D:$D,A15,Sales!$V:$V),0)</x:f>
        <x:v>0</x:v>
      </x:c>
      <x:c r="F15" s="16">
        <x:f>IF(A15&lt;&gt;"",SUMIF(Sales!$D:$D,A15,Sales!$W:$W),0)</x:f>
        <x:v>0</x:v>
      </x:c>
      <x:c r="G15" s="16">
        <x:f>IF(D15&gt;0, E15/D15,0)</x:f>
        <x:v>0</x:v>
      </x:c>
      <x:c r="H15" s="13" t="n"/>
    </x:row>
    <x:row r="16">
      <x:c r="A16" s="13" t="n"/>
      <x:c r="B16" s="13" t="n"/>
      <x:c r="C16" s="13" t="n"/>
      <x:c r="D16" s="15">
        <x:f>IF(A16&lt;&gt;"",SUMIF(Sales!$D:$D,A16,Sales!$H:$H),0)</x:f>
        <x:v>0</x:v>
      </x:c>
      <x:c r="E16" s="16">
        <x:f>IF(A16&lt;&gt;"",SUMIF(Sales!$D:$D,A16,Sales!$V:$V),0)</x:f>
        <x:v>0</x:v>
      </x:c>
      <x:c r="F16" s="16">
        <x:f>IF(A16&lt;&gt;"",SUMIF(Sales!$D:$D,A16,Sales!$W:$W),0)</x:f>
        <x:v>0</x:v>
      </x:c>
      <x:c r="G16" s="16">
        <x:f>IF(D16&gt;0, E16/D16,0)</x:f>
        <x:v>0</x:v>
      </x:c>
      <x:c r="H16" s="13" t="n"/>
    </x:row>
    <x:row r="17">
      <x:c r="A17" s="13" t="n"/>
      <x:c r="B17" s="13" t="n"/>
      <x:c r="C17" s="13" t="n"/>
      <x:c r="D17" s="15">
        <x:f>IF(A17&lt;&gt;"",SUMIF(Sales!$D:$D,A17,Sales!$H:$H),0)</x:f>
        <x:v>0</x:v>
      </x:c>
      <x:c r="E17" s="16">
        <x:f>IF(A17&lt;&gt;"",SUMIF(Sales!$D:$D,A17,Sales!$V:$V),0)</x:f>
        <x:v>0</x:v>
      </x:c>
      <x:c r="F17" s="16">
        <x:f>IF(A17&lt;&gt;"",SUMIF(Sales!$D:$D,A17,Sales!$W:$W),0)</x:f>
        <x:v>0</x:v>
      </x:c>
      <x:c r="G17" s="16">
        <x:f>IF(D17&gt;0, E17/D17,0)</x:f>
        <x:v>0</x:v>
      </x:c>
      <x:c r="H17" s="13" t="n"/>
    </x:row>
    <x:row r="18">
      <x:c r="A18" s="13" t="n"/>
      <x:c r="B18" s="13" t="n"/>
      <x:c r="C18" s="13" t="n"/>
      <x:c r="D18" s="15">
        <x:f>IF(A18&lt;&gt;"",SUMIF(Sales!$D:$D,A18,Sales!$H:$H),0)</x:f>
        <x:v>0</x:v>
      </x:c>
      <x:c r="E18" s="16">
        <x:f>IF(A18&lt;&gt;"",SUMIF(Sales!$D:$D,A18,Sales!$V:$V),0)</x:f>
        <x:v>0</x:v>
      </x:c>
      <x:c r="F18" s="16">
        <x:f>IF(A18&lt;&gt;"",SUMIF(Sales!$D:$D,A18,Sales!$W:$W),0)</x:f>
        <x:v>0</x:v>
      </x:c>
      <x:c r="G18" s="16">
        <x:f>IF(D18&gt;0, E18/D18,0)</x:f>
        <x:v>0</x:v>
      </x:c>
      <x:c r="H18" s="13" t="n"/>
    </x:row>
    <x:row r="19">
      <x:c r="A19" s="13" t="n"/>
      <x:c r="B19" s="13" t="n"/>
      <x:c r="C19" s="13" t="n"/>
      <x:c r="D19" s="15">
        <x:f>IF(A19&lt;&gt;"",SUMIF(Sales!$D:$D,A19,Sales!$H:$H),0)</x:f>
        <x:v>0</x:v>
      </x:c>
      <x:c r="E19" s="16">
        <x:f>IF(A19&lt;&gt;"",SUMIF(Sales!$D:$D,A19,Sales!$V:$V),0)</x:f>
        <x:v>0</x:v>
      </x:c>
      <x:c r="F19" s="16">
        <x:f>IF(A19&lt;&gt;"",SUMIF(Sales!$D:$D,A19,Sales!$W:$W),0)</x:f>
        <x:v>0</x:v>
      </x:c>
      <x:c r="G19" s="16">
        <x:f>IF(D19&gt;0, E19/D19,0)</x:f>
        <x:v>0</x:v>
      </x:c>
      <x:c r="H19" s="13" t="n"/>
    </x:row>
    <x:row r="20">
      <x:c r="A20" s="13" t="n"/>
      <x:c r="B20" s="13" t="n"/>
      <x:c r="C20" s="13" t="n"/>
      <x:c r="D20" s="15">
        <x:f>IF(A20&lt;&gt;"",SUMIF(Sales!$D:$D,A20,Sales!$H:$H),0)</x:f>
        <x:v>0</x:v>
      </x:c>
      <x:c r="E20" s="16">
        <x:f>IF(A20&lt;&gt;"",SUMIF(Sales!$D:$D,A20,Sales!$V:$V),0)</x:f>
        <x:v>0</x:v>
      </x:c>
      <x:c r="F20" s="16">
        <x:f>IF(A20&lt;&gt;"",SUMIF(Sales!$D:$D,A20,Sales!$W:$W),0)</x:f>
        <x:v>0</x:v>
      </x:c>
      <x:c r="G20" s="16">
        <x:f>IF(D20&gt;0, E20/D20,0)</x:f>
        <x:v>0</x:v>
      </x:c>
      <x:c r="H20" s="13" t="n"/>
    </x:row>
    <x:row r="21">
      <x:c r="A21" s="13" t="n"/>
      <x:c r="B21" s="13" t="n"/>
      <x:c r="C21" s="13" t="n"/>
      <x:c r="D21" s="15">
        <x:f>IF(A21&lt;&gt;"",SUMIF(Sales!$D:$D,A21,Sales!$H:$H),0)</x:f>
        <x:v>0</x:v>
      </x:c>
      <x:c r="E21" s="16">
        <x:f>IF(A21&lt;&gt;"",SUMIF(Sales!$D:$D,A21,Sales!$V:$V),0)</x:f>
        <x:v>0</x:v>
      </x:c>
      <x:c r="F21" s="16">
        <x:f>IF(A21&lt;&gt;"",SUMIF(Sales!$D:$D,A21,Sales!$W:$W),0)</x:f>
        <x:v>0</x:v>
      </x:c>
      <x:c r="G21" s="16">
        <x:f>IF(D21&gt;0, E21/D21,0)</x:f>
        <x:v>0</x:v>
      </x:c>
      <x:c r="H21" s="13" t="n"/>
    </x:row>
    <x:row r="22">
      <x:c r="A22" s="13" t="n"/>
      <x:c r="B22" s="13" t="n"/>
      <x:c r="C22" s="13" t="n"/>
      <x:c r="D22" s="15">
        <x:f>IF(A22&lt;&gt;"",SUMIF(Sales!$D:$D,A22,Sales!$H:$H),0)</x:f>
        <x:v>0</x:v>
      </x:c>
      <x:c r="E22" s="16">
        <x:f>IF(A22&lt;&gt;"",SUMIF(Sales!$D:$D,A22,Sales!$V:$V),0)</x:f>
        <x:v>0</x:v>
      </x:c>
      <x:c r="F22" s="16">
        <x:f>IF(A22&lt;&gt;"",SUMIF(Sales!$D:$D,A22,Sales!$W:$W),0)</x:f>
        <x:v>0</x:v>
      </x:c>
      <x:c r="G22" s="16">
        <x:f>IF(D22&gt;0, E22/D22,0)</x:f>
        <x:v>0</x:v>
      </x:c>
      <x:c r="H22" s="13" t="n"/>
    </x:row>
    <x:row r="23">
      <x:c r="A23" s="13" t="n"/>
      <x:c r="B23" s="13" t="n"/>
      <x:c r="C23" s="13" t="n"/>
      <x:c r="D23" s="15">
        <x:f>IF(A23&lt;&gt;"",SUMIF(Sales!$D:$D,A23,Sales!$H:$H),0)</x:f>
        <x:v>0</x:v>
      </x:c>
      <x:c r="E23" s="16">
        <x:f>IF(A23&lt;&gt;"",SUMIF(Sales!$D:$D,A23,Sales!$V:$V),0)</x:f>
        <x:v>0</x:v>
      </x:c>
      <x:c r="F23" s="16">
        <x:f>IF(A23&lt;&gt;"",SUMIF(Sales!$D:$D,A23,Sales!$W:$W),0)</x:f>
        <x:v>0</x:v>
      </x:c>
      <x:c r="G23" s="16">
        <x:f>IF(D23&gt;0, E23/D23,0)</x:f>
        <x:v>0</x:v>
      </x:c>
      <x:c r="H23" s="13" t="n"/>
    </x:row>
    <x:row r="24">
      <x:c r="A24" s="13" t="n"/>
      <x:c r="B24" s="13" t="n"/>
      <x:c r="C24" s="13" t="n"/>
      <x:c r="D24" s="15">
        <x:f>IF(A24&lt;&gt;"",SUMIF(Sales!$D:$D,A24,Sales!$H:$H),0)</x:f>
        <x:v>0</x:v>
      </x:c>
      <x:c r="E24" s="16">
        <x:f>IF(A24&lt;&gt;"",SUMIF(Sales!$D:$D,A24,Sales!$V:$V),0)</x:f>
        <x:v>0</x:v>
      </x:c>
      <x:c r="F24" s="16">
        <x:f>IF(A24&lt;&gt;"",SUMIF(Sales!$D:$D,A24,Sales!$W:$W),0)</x:f>
        <x:v>0</x:v>
      </x:c>
      <x:c r="G24" s="16">
        <x:f>IF(D24&gt;0, E24/D24,0)</x:f>
        <x:v>0</x:v>
      </x:c>
      <x:c r="H24" s="13" t="n"/>
    </x:row>
    <x:row r="25">
      <x:c r="A25" s="13" t="n"/>
      <x:c r="B25" s="13" t="n"/>
      <x:c r="C25" s="13" t="n"/>
      <x:c r="D25" s="15">
        <x:f>IF(A25&lt;&gt;"",SUMIF(Sales!$D:$D,A25,Sales!$H:$H),0)</x:f>
        <x:v>0</x:v>
      </x:c>
      <x:c r="E25" s="16">
        <x:f>IF(A25&lt;&gt;"",SUMIF(Sales!$D:$D,A25,Sales!$V:$V),0)</x:f>
        <x:v>0</x:v>
      </x:c>
      <x:c r="F25" s="16">
        <x:f>IF(A25&lt;&gt;"",SUMIF(Sales!$D:$D,A25,Sales!$W:$W),0)</x:f>
        <x:v>0</x:v>
      </x:c>
      <x:c r="G25" s="16">
        <x:f>IF(D25&gt;0, E25/D25,0)</x:f>
        <x:v>0</x:v>
      </x:c>
      <x:c r="H25" s="13" t="n"/>
    </x:row>
    <x:row r="26">
      <x:c r="A26" s="13" t="n"/>
      <x:c r="B26" s="13" t="n"/>
      <x:c r="C26" s="13" t="n"/>
      <x:c r="D26" s="15">
        <x:f>IF(A26&lt;&gt;"",SUMIF(Sales!$D:$D,A26,Sales!$H:$H),0)</x:f>
        <x:v>0</x:v>
      </x:c>
      <x:c r="E26" s="16">
        <x:f>IF(A26&lt;&gt;"",SUMIF(Sales!$D:$D,A26,Sales!$V:$V),0)</x:f>
        <x:v>0</x:v>
      </x:c>
      <x:c r="F26" s="16">
        <x:f>IF(A26&lt;&gt;"",SUMIF(Sales!$D:$D,A26,Sales!$W:$W),0)</x:f>
        <x:v>0</x:v>
      </x:c>
      <x:c r="G26" s="16">
        <x:f>IF(D26&gt;0, E26/D26,0)</x:f>
        <x:v>0</x:v>
      </x:c>
      <x:c r="H26" s="13" t="n"/>
    </x:row>
    <x:row r="27">
      <x:c r="A27" s="13" t="n"/>
      <x:c r="B27" s="13" t="n"/>
      <x:c r="C27" s="13" t="n"/>
      <x:c r="D27" s="15">
        <x:f>IF(A27&lt;&gt;"",SUMIF(Sales!$D:$D,A27,Sales!$H:$H),0)</x:f>
        <x:v>0</x:v>
      </x:c>
      <x:c r="E27" s="16">
        <x:f>IF(A27&lt;&gt;"",SUMIF(Sales!$D:$D,A27,Sales!$V:$V),0)</x:f>
        <x:v>0</x:v>
      </x:c>
      <x:c r="F27" s="16">
        <x:f>IF(A27&lt;&gt;"",SUMIF(Sales!$D:$D,A27,Sales!$W:$W),0)</x:f>
        <x:v>0</x:v>
      </x:c>
      <x:c r="G27" s="16">
        <x:f>IF(D27&gt;0, E27/D27,0)</x:f>
        <x:v>0</x:v>
      </x:c>
      <x:c r="H27" s="13" t="n"/>
    </x:row>
    <x:row r="28">
      <x:c r="A28" s="13" t="n"/>
      <x:c r="B28" s="13" t="n"/>
      <x:c r="C28" s="13" t="n"/>
      <x:c r="D28" s="15">
        <x:f>IF(A28&lt;&gt;"",SUMIF(Sales!$D:$D,A28,Sales!$H:$H),0)</x:f>
        <x:v>0</x:v>
      </x:c>
      <x:c r="E28" s="16">
        <x:f>IF(A28&lt;&gt;"",SUMIF(Sales!$D:$D,A28,Sales!$V:$V),0)</x:f>
        <x:v>0</x:v>
      </x:c>
      <x:c r="F28" s="16">
        <x:f>IF(A28&lt;&gt;"",SUMIF(Sales!$D:$D,A28,Sales!$W:$W),0)</x:f>
        <x:v>0</x:v>
      </x:c>
      <x:c r="G28" s="16">
        <x:f>IF(D28&gt;0, E28/D28,0)</x:f>
        <x:v>0</x:v>
      </x:c>
      <x:c r="H28" s="13" t="n"/>
    </x:row>
    <x:row r="29">
      <x:c r="A29" s="13" t="n"/>
      <x:c r="B29" s="13" t="n"/>
      <x:c r="C29" s="13" t="n"/>
      <x:c r="D29" s="15">
        <x:f>IF(A29&lt;&gt;"",SUMIF(Sales!$D:$D,A29,Sales!$H:$H),0)</x:f>
        <x:v>0</x:v>
      </x:c>
      <x:c r="E29" s="16">
        <x:f>IF(A29&lt;&gt;"",SUMIF(Sales!$D:$D,A29,Sales!$V:$V),0)</x:f>
        <x:v>0</x:v>
      </x:c>
      <x:c r="F29" s="16">
        <x:f>IF(A29&lt;&gt;"",SUMIF(Sales!$D:$D,A29,Sales!$W:$W),0)</x:f>
        <x:v>0</x:v>
      </x:c>
      <x:c r="G29" s="16">
        <x:f>IF(D29&gt;0, E29/D29,0)</x:f>
        <x:v>0</x:v>
      </x:c>
      <x:c r="H29" s="13" t="n"/>
    </x:row>
    <x:row r="30">
      <x:c r="A30" s="13" t="n"/>
      <x:c r="B30" s="13" t="n"/>
      <x:c r="C30" s="13" t="n"/>
      <x:c r="D30" s="15">
        <x:f>IF(A30&lt;&gt;"",SUMIF(Sales!$D:$D,A30,Sales!$H:$H),0)</x:f>
        <x:v>0</x:v>
      </x:c>
      <x:c r="E30" s="16">
        <x:f>IF(A30&lt;&gt;"",SUMIF(Sales!$D:$D,A30,Sales!$V:$V),0)</x:f>
        <x:v>0</x:v>
      </x:c>
      <x:c r="F30" s="16">
        <x:f>IF(A30&lt;&gt;"",SUMIF(Sales!$D:$D,A30,Sales!$W:$W),0)</x:f>
        <x:v>0</x:v>
      </x:c>
      <x:c r="G30" s="16">
        <x:f>IF(D30&gt;0, E30/D30,0)</x:f>
        <x:v>0</x:v>
      </x:c>
      <x:c r="H30" s="13" t="n"/>
    </x:row>
    <x:row r="31">
      <x:c r="A31" s="13" t="n"/>
      <x:c r="B31" s="13" t="n"/>
      <x:c r="C31" s="13" t="n"/>
      <x:c r="D31" s="15">
        <x:f>IF(A31&lt;&gt;"",SUMIF(Sales!$D:$D,A31,Sales!$H:$H),0)</x:f>
        <x:v>0</x:v>
      </x:c>
      <x:c r="E31" s="16">
        <x:f>IF(A31&lt;&gt;"",SUMIF(Sales!$D:$D,A31,Sales!$V:$V),0)</x:f>
        <x:v>0</x:v>
      </x:c>
      <x:c r="F31" s="16">
        <x:f>IF(A31&lt;&gt;"",SUMIF(Sales!$D:$D,A31,Sales!$W:$W),0)</x:f>
        <x:v>0</x:v>
      </x:c>
      <x:c r="G31" s="16">
        <x:f>IF(D31&gt;0, E31/D31,0)</x:f>
        <x:v>0</x:v>
      </x:c>
      <x:c r="H31" s="13" t="n"/>
    </x:row>
  </x:sheetData>
  <x:pageMargins left="0.7" right="0.7" top="0.75" bottom="0.75" header="0.3" footer="0.3"/>
  <x:legacyDrawing xmlns:r="http://schemas.openxmlformats.org/officeDocument/2006/relationships" r:id="R22f1c5d501344d90"/>
</x:worksheet>
</file>

<file path=xl/worksheets/sheet8.xml><?xml version="1.0" encoding="utf-8"?>
<x:worksheet xmlns:x="http://schemas.openxmlformats.org/spreadsheetml/2006/main">
  <x:sheetFormatPr baseColWidth="8" defaultRowHeight="15"/>
  <x:cols>
    <x:col min="1" max="1" width="32" customWidth="1"/>
    <x:col min="2" max="2" width="18" customWidth="1"/>
  </x:cols>
  <x:sheetData>
    <x:row r="1">
      <x:c r="A1" s="17" t="inlineStr">
        <x:is>
          <x:t xml:space="preserve">Metric</x:t>
        </x:is>
      </x:c>
      <x:c r="B1" s="17" t="inlineStr">
        <x:is>
          <x:t xml:space="preserve">Value</x:t>
        </x:is>
      </x:c>
    </x:row>
    <x:row r="2">
      <x:c r="A2" s="11" t="inlineStr">
        <x:is>
          <x:t xml:space="preserve">Basispreis (CHF/g)</x:t>
        </x:is>
      </x:c>
      <x:c r="B2" s="16">
        <x:f>Parameters!$B$2</x:f>
        <x:v>35</x:v>
      </x:c>
    </x:row>
    <x:row r="3">
      <x:c r="A3" s="11" t="inlineStr">
        <x:is>
          <x:t xml:space="preserve">Startmenge Schale (g)</x:t>
        </x:is>
      </x:c>
      <x:c r="B3" s="15">
        <x:f>Parameters!$B$3</x:f>
        <x:v>48.5</x:v>
      </x:c>
    </x:row>
    <x:row r="4">
      <x:c r="A4" s="11" t="inlineStr">
        <x:is>
          <x:t xml:space="preserve">Total Menge verkauft (g)</x:t>
        </x:is>
      </x:c>
      <x:c r="B4" s="15">
        <x:f>SUM(Sales!$H:$H)</x:f>
        <x:v>22</x:v>
      </x:c>
    </x:row>
    <x:row r="5">
      <x:c r="A5" s="11" t="inlineStr">
        <x:is>
          <x:t xml:space="preserve">Total Konsum Morris (g)</x:t>
        </x:is>
      </x:c>
      <x:c r="B5" s="15">
        <x:f>SUM(Sales!$K:$K)</x:f>
        <x:v>8.5</x:v>
      </x:c>
    </x:row>
    <x:row r="6">
      <x:c r="A6" s="11" t="inlineStr">
        <x:is>
          <x:t xml:space="preserve">Total Konsum Boryana (g)</x:t>
        </x:is>
      </x:c>
      <x:c r="B6" s="15">
        <x:f>SUM(Sales!$L:$L)</x:f>
        <x:v>0</x:v>
      </x:c>
    </x:row>
    <x:row r="7">
      <x:c r="A7" s="11" t="inlineStr">
        <x:is>
          <x:t xml:space="preserve">Total Menge aus (g)</x:t>
        </x:is>
      </x:c>
      <x:c r="B7" s="15">
        <x:f>SUM(Sales!$M:$M)</x:f>
        <x:v>30.5</x:v>
      </x:c>
    </x:row>
    <x:row r="8">
      <x:c r="A8" s="11" t="inlineStr">
        <x:is>
          <x:t xml:space="preserve">Restbestand (g)</x:t>
        </x:is>
      </x:c>
      <x:c r="B8" s="15">
        <x:f>Parameters!$B$3-B7</x:f>
        <x:v>18</x:v>
      </x:c>
    </x:row>
    <x:row r="9">
      <x:c r="A9" s="11" t="inlineStr">
        <x:is>
          <x:t xml:space="preserve">Lagerwert Restbestand (CHF)</x:t>
        </x:is>
      </x:c>
      <x:c r="B9" s="11">
        <x:f>B8*Parameters!$B$2</x:f>
        <x:v>630</x:v>
      </x:c>
    </x:row>
    <x:row r="10">
      <x:c r="A10" s="11" t="inlineStr">
        <x:is>
          <x:t xml:space="preserve">Cash Einnahmen (CHF)</x:t>
        </x:is>
      </x:c>
      <x:c r="B10" s="16">
        <x:f>SUM(Sales!$V:$V)</x:f>
        <x:v>1000</x:v>
      </x:c>
    </x:row>
    <x:row r="11">
      <x:c r="A11" s="11" t="inlineStr">
        <x:is>
          <x:t xml:space="preserve">Offene Kunden-Schulden (CHF)</x:t>
        </x:is>
      </x:c>
      <x:c r="B11" s="16">
        <x:f>SUM(Sales!$W:$W)</x:f>
        <x:v>200</x:v>
      </x:c>
    </x:row>
    <x:row r="12">
      <x:c r="A12" s="11" t="inlineStr">
        <x:is>
          <x:t xml:space="preserve">Total Spesen (CHF)</x:t>
        </x:is>
      </x:c>
      <x:c r="B12" s="16">
        <x:f>SUM(Sales!$J:$J)</x:f>
        <x:v>0</x:v>
      </x:c>
    </x:row>
    <x:row r="13">
      <x:c r="A13" s="11" t="inlineStr">
        <x:is>
          <x:t xml:space="preserve">Total Netto Gewinn (CHF)</x:t>
        </x:is>
      </x:c>
      <x:c r="B13" s="16">
        <x:f>SUM(Sales!$S:$S)</x:f>
        <x:v>430</x:v>
      </x:c>
    </x:row>
    <x:row r="14">
      <x:c r="A14" s="11" t="inlineStr">
        <x:is>
          <x:t xml:space="preserve">Investitionen offen (CHF)</x:t>
        </x:is>
      </x:c>
      <x:c r="B14" s="16">
        <x:f>SUM(Investors!$E:$E)</x:f>
        <x:v>2500</x:v>
      </x:c>
    </x:row>
    <x:row r="15">
      <x:c r="A15" s="11" t="inlineStr">
        <x:is>
          <x:t xml:space="preserve">Interne Schulden offen (CHF)</x:t>
        </x:is>
      </x:c>
      <x:c r="B15" s="16">
        <x:f>SUM(Investors!$I:$I)</x:f>
        <x:v>297.5</x:v>
      </x:c>
    </x:row>
    <x:row r="16">
      <x:c r="A16" s="11" t="inlineStr">
        <x:is>
          <x:t xml:space="preserve">Break-Even erreicht?</x:t>
        </x:is>
      </x:c>
      <x:c r="B16" s="16" t="str">
        <x:f>IF(B13=0,"JA","NEIN")</x:f>
        <x:v>NEIN</x:v>
      </x:c>
    </x:row>
    <x:row r="18">
      <x:c r="A18" t="inlineStr">
        <x:is>
          <x:t xml:space="preserve">Current loaded case note</x:t>
        </x:is>
      </x:c>
      <x:c r="B18" t="inlineStr">
        <x:is>
          <x:t xml:space="preserve">1000 CHF received so far; 200 CHF open; Morris internal debt 297.50 CHF</x:t>
        </x:is>
      </x:c>
    </x:row>
  </x:sheetData>
  <x:pageMargins left="0.7" right="0.7" top="0.75" bottom="0.75" header="0.3" footer="0.3"/>
  <x:legacyDrawing xmlns:r="http://schemas.openxmlformats.org/officeDocument/2006/relationships" r:id="R6c3fc15fe106493c"/>
</x:worksheet>
</file>

<file path=xl/worksheets/sheet9.xml><?xml version="1.0" encoding="utf-8"?>
<x:worksheet xmlns:x="http://schemas.openxmlformats.org/spreadsheetml/2006/main">
  <x:sheetFormatPr baseColWidth="8" defaultRowHeight="15"/>
  <x:cols>
    <x:col min="1" max="1" width="24" customWidth="1"/>
    <x:col min="2" max="2" width="18" customWidth="1"/>
  </x:cols>
  <x:sheetData>
    <x:row r="1">
      <x:c r="A1" s="17" t="inlineStr">
        <x:is>
          <x:t xml:space="preserve">Description</x:t>
        </x:is>
      </x:c>
      <x:c r="B1" s="17" t="inlineStr">
        <x:is>
          <x:t xml:space="preserve">Value</x:t>
        </x:is>
      </x:c>
    </x:row>
    <x:row r="2">
      <x:c r="A2" t="inlineStr">
        <x:is>
          <x:t xml:space="preserve">Base price (input)</x:t>
        </x:is>
      </x:c>
      <x:c r="B2" s="18" t="inlineStr">
        <x:is>
          <x:t xml:space="preserve"/>
        </x:is>
      </x:c>
    </x:row>
    <x:row r="3">
      <x:c r="A3" t="inlineStr">
        <x:is>
          <x:t xml:space="preserve">Quantity (g)</x:t>
        </x:is>
      </x:c>
      <x:c r="B3" s="14" t="inlineStr">
        <x:is>
          <x:t xml:space="preserve"/>
        </x:is>
      </x:c>
    </x:row>
    <x:row r="4">
      <x:c r="A4" t="inlineStr">
        <x:is>
          <x:t xml:space="preserve">Sale price per g</x:t>
        </x:is>
      </x:c>
      <x:c r="B4" s="18" t="inlineStr">
        <x:is>
          <x:t xml:space="preserve"/>
        </x:is>
      </x:c>
    </x:row>
    <x:row r="5">
      <x:c r="A5" t="inlineStr">
        <x:is>
          <x:t xml:space="preserve">Expenses</x:t>
        </x:is>
      </x:c>
      <x:c r="B5" s="18" t="inlineStr">
        <x:is>
          <x:t xml:space="preserve"/>
        </x:is>
      </x:c>
    </x:row>
    <x:row r="6">
      <x:c r="A6" t="inlineStr">
        <x:is>
          <x:t xml:space="preserve">Base Cost (CHF)</x:t>
        </x:is>
      </x:c>
      <x:c r="B6" s="16">
        <x:f>B2*B3</x:f>
        <x:v>0</x:v>
      </x:c>
    </x:row>
    <x:row r="7">
      <x:c r="A7" t="inlineStr">
        <x:is>
          <x:t xml:space="preserve">Gross Revenue (CHF)</x:t>
        </x:is>
      </x:c>
      <x:c r="B7" s="16">
        <x:f>B2*B4</x:f>
        <x:v>0</x:v>
      </x:c>
    </x:row>
    <x:row r="8">
      <x:c r="A8" t="inlineStr">
        <x:is>
          <x:t xml:space="preserve">Profit (CHF)</x:t>
        </x:is>
      </x:c>
      <x:c r="B8" s="16">
        <x:f>B7-B6-B5</x:f>
        <x:v>0</x:v>
      </x:c>
    </x:row>
  </x:sheetData>
  <x:pageMargins left="0.7" right="0.7" top="0.75" bottom="0.75" header="0.3" footer="0.3"/>
  <x:legacyDrawing xmlns:r="http://schemas.openxmlformats.org/officeDocument/2006/relationships" r:id="R0c3804d7d6264a80"/>
</x:worksheet>
</file>

<file path=xl/worksheets/sheet10.xml><?xml version="1.0" encoding="utf-8"?>
<x:worksheet xmlns:x="http://schemas.openxmlformats.org/spreadsheetml/2006/main">
  <x:sheetFormatPr baseColWidth="8" defaultRowHeight="15"/>
  <x:sheetData>
    <x:row r="1">
      <x:c r="A1" t="inlineStr">
        <x:is>
          <x:t xml:space="preserve">Sale</x:t>
        </x:is>
      </x:c>
      <x:c r="B1" t="inlineStr">
        <x:is>
          <x:t xml:space="preserve">Paid</x:t>
        </x:is>
      </x:c>
      <x:c r="C1" t="inlineStr">
        <x:is>
          <x:t xml:space="preserve">Cash</x:t>
        </x:is>
      </x:c>
    </x:row>
    <x:row r="2">
      <x:c r="A2" t="inlineStr">
        <x:is>
          <x:t xml:space="preserve">Own</x:t>
        </x:is>
      </x:c>
      <x:c r="B2" t="inlineStr">
        <x:is>
          <x:t xml:space="preserve">Open</x:t>
        </x:is>
      </x:c>
      <x:c r="C2" t="inlineStr">
        <x:is>
          <x:t xml:space="preserve">Twint</x:t>
        </x:is>
      </x:c>
    </x:row>
    <x:row r="3">
      <x:c r="A3" t="inlineStr">
        <x:is>
          <x:t xml:space="preserve">Other</x:t>
        </x:is>
      </x:c>
      <x:c r="B3" t="inlineStr">
        <x:is>
          <x:t xml:space="preserve">Partial</x:t>
        </x:is>
      </x:c>
      <x:c r="C3" t="inlineStr">
        <x:is>
          <x:t xml:space="preserve">Bank</x:t>
        </x:is>
      </x:c>
    </x:row>
    <x:row r="4">
      <x:c r="C4" t="inlineStr">
        <x:is>
          <x:t xml:space="preserve">Other</x:t>
        </x:is>
      </x:c>
    </x:row>
  </x:sheetData>
  <x:pageMargins left="0.7" right="0.7" top="0.75" bottom="0.75" header="0.3" footer="0.3"/>
</x:worksheet>
</file>